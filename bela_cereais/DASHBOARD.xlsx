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rilo\Desktop\bela_cereais\"/>
    </mc:Choice>
  </mc:AlternateContent>
  <xr:revisionPtr revIDLastSave="0" documentId="13_ncr:1_{68541DF5-58C0-409B-A54A-478284D3B618}" xr6:coauthVersionLast="47" xr6:coauthVersionMax="47" xr10:uidLastSave="{00000000-0000-0000-0000-000000000000}"/>
  <bookViews>
    <workbookView xWindow="-120" yWindow="-120" windowWidth="20730" windowHeight="11160" tabRatio="490" activeTab="2" xr2:uid="{00000000-000D-0000-FFFF-FFFF00000000}"/>
  </bookViews>
  <sheets>
    <sheet name="COMPARATIVO ANUAL" sheetId="1" r:id="rId1"/>
    <sheet name="BD_LUCRO" sheetId="2" r:id="rId2"/>
    <sheet name="BD_DESP" sheetId="3" r:id="rId3"/>
    <sheet name="HIST. MENS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C8" i="1"/>
  <c r="B8" i="1"/>
  <c r="C3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2" i="1"/>
  <c r="B12" i="1"/>
  <c r="C11" i="1"/>
  <c r="B11" i="1"/>
  <c r="C7" i="1"/>
  <c r="B7" i="1"/>
  <c r="C6" i="1"/>
  <c r="B6" i="1"/>
  <c r="C5" i="1"/>
  <c r="B5" i="1"/>
  <c r="C4" i="1"/>
  <c r="B4" i="1"/>
  <c r="B3" i="1"/>
  <c r="E664" i="3" l="1"/>
  <c r="I10" i="4"/>
  <c r="F10" i="4"/>
  <c r="C31" i="4" l="1"/>
  <c r="D31" i="4"/>
  <c r="E31" i="4"/>
  <c r="F31" i="4"/>
  <c r="G31" i="4"/>
  <c r="H31" i="4"/>
  <c r="I31" i="4"/>
  <c r="J31" i="4"/>
  <c r="K31" i="4"/>
  <c r="L31" i="4"/>
  <c r="M31" i="4"/>
  <c r="N31" i="4"/>
  <c r="C32" i="4"/>
  <c r="D32" i="4"/>
  <c r="E32" i="4"/>
  <c r="F32" i="4"/>
  <c r="G32" i="4"/>
  <c r="H32" i="4"/>
  <c r="I32" i="4"/>
  <c r="J32" i="4"/>
  <c r="K32" i="4"/>
  <c r="L32" i="4"/>
  <c r="M32" i="4"/>
  <c r="N32" i="4"/>
  <c r="C33" i="4"/>
  <c r="D33" i="4"/>
  <c r="E33" i="4"/>
  <c r="F33" i="4"/>
  <c r="G33" i="4"/>
  <c r="H33" i="4"/>
  <c r="I33" i="4"/>
  <c r="J33" i="4"/>
  <c r="K33" i="4"/>
  <c r="L33" i="4"/>
  <c r="M33" i="4"/>
  <c r="N33" i="4"/>
  <c r="C34" i="4"/>
  <c r="D34" i="4"/>
  <c r="E34" i="4"/>
  <c r="F34" i="4"/>
  <c r="G34" i="4"/>
  <c r="H34" i="4"/>
  <c r="I34" i="4"/>
  <c r="J34" i="4"/>
  <c r="K34" i="4"/>
  <c r="L34" i="4"/>
  <c r="M34" i="4"/>
  <c r="N34" i="4"/>
  <c r="C35" i="4"/>
  <c r="D35" i="4"/>
  <c r="E35" i="4"/>
  <c r="F35" i="4"/>
  <c r="G35" i="4"/>
  <c r="H35" i="4"/>
  <c r="I35" i="4"/>
  <c r="J35" i="4"/>
  <c r="K35" i="4"/>
  <c r="L35" i="4"/>
  <c r="M35" i="4"/>
  <c r="N35" i="4"/>
  <c r="C36" i="4"/>
  <c r="D36" i="4"/>
  <c r="E36" i="4"/>
  <c r="F36" i="4"/>
  <c r="G36" i="4"/>
  <c r="H36" i="4"/>
  <c r="I36" i="4"/>
  <c r="J36" i="4"/>
  <c r="K36" i="4"/>
  <c r="L36" i="4"/>
  <c r="M36" i="4"/>
  <c r="N36" i="4"/>
  <c r="C37" i="4"/>
  <c r="D37" i="4"/>
  <c r="E37" i="4"/>
  <c r="F37" i="4"/>
  <c r="G37" i="4"/>
  <c r="H37" i="4"/>
  <c r="I37" i="4"/>
  <c r="J37" i="4"/>
  <c r="K37" i="4"/>
  <c r="L37" i="4"/>
  <c r="M37" i="4"/>
  <c r="N37" i="4"/>
  <c r="C38" i="4"/>
  <c r="D38" i="4"/>
  <c r="E38" i="4"/>
  <c r="F38" i="4"/>
  <c r="G38" i="4"/>
  <c r="H38" i="4"/>
  <c r="I38" i="4"/>
  <c r="J38" i="4"/>
  <c r="K38" i="4"/>
  <c r="L38" i="4"/>
  <c r="M38" i="4"/>
  <c r="N38" i="4"/>
  <c r="C39" i="4"/>
  <c r="D39" i="4"/>
  <c r="E39" i="4"/>
  <c r="F39" i="4"/>
  <c r="G39" i="4"/>
  <c r="H39" i="4"/>
  <c r="I39" i="4"/>
  <c r="J39" i="4"/>
  <c r="K39" i="4"/>
  <c r="L39" i="4"/>
  <c r="M39" i="4"/>
  <c r="N39" i="4"/>
  <c r="C40" i="4"/>
  <c r="D40" i="4"/>
  <c r="E40" i="4"/>
  <c r="F40" i="4"/>
  <c r="G40" i="4"/>
  <c r="H40" i="4"/>
  <c r="I40" i="4"/>
  <c r="J40" i="4"/>
  <c r="K40" i="4"/>
  <c r="L40" i="4"/>
  <c r="M40" i="4"/>
  <c r="N40" i="4"/>
  <c r="C41" i="4"/>
  <c r="D41" i="4"/>
  <c r="E41" i="4"/>
  <c r="F41" i="4"/>
  <c r="G41" i="4"/>
  <c r="H41" i="4"/>
  <c r="I41" i="4"/>
  <c r="J41" i="4"/>
  <c r="K41" i="4"/>
  <c r="L41" i="4"/>
  <c r="M41" i="4"/>
  <c r="N41" i="4"/>
  <c r="J30" i="4"/>
  <c r="J42" i="4" s="1"/>
  <c r="I30" i="4"/>
  <c r="H30" i="4"/>
  <c r="H42" i="4" s="1"/>
  <c r="G30" i="4"/>
  <c r="G42" i="4" s="1"/>
  <c r="F30" i="4"/>
  <c r="F42" i="4" s="1"/>
  <c r="E30" i="4"/>
  <c r="E42" i="4" s="1"/>
  <c r="D30" i="4"/>
  <c r="D42" i="4" s="1"/>
  <c r="C30" i="4"/>
  <c r="C42" i="4" s="1"/>
  <c r="O41" i="4"/>
  <c r="O40" i="4"/>
  <c r="O39" i="4"/>
  <c r="O38" i="4"/>
  <c r="O37" i="4"/>
  <c r="O36" i="4"/>
  <c r="O35" i="4"/>
  <c r="O34" i="4"/>
  <c r="O33" i="4"/>
  <c r="O32" i="4"/>
  <c r="N25" i="4"/>
  <c r="J25" i="4"/>
  <c r="I25" i="4"/>
  <c r="K25" i="4" s="1"/>
  <c r="H25" i="4"/>
  <c r="G25" i="4"/>
  <c r="F25" i="4"/>
  <c r="E25" i="4"/>
  <c r="D25" i="4"/>
  <c r="C25" i="4"/>
  <c r="O25" i="4" s="1"/>
  <c r="N24" i="4"/>
  <c r="J24" i="4"/>
  <c r="I24" i="4"/>
  <c r="K24" i="4" s="1"/>
  <c r="H24" i="4"/>
  <c r="G24" i="4"/>
  <c r="F24" i="4"/>
  <c r="E24" i="4"/>
  <c r="D24" i="4"/>
  <c r="C24" i="4"/>
  <c r="O24" i="4" s="1"/>
  <c r="N23" i="4"/>
  <c r="J23" i="4"/>
  <c r="I23" i="4"/>
  <c r="K23" i="4" s="1"/>
  <c r="H23" i="4"/>
  <c r="G23" i="4"/>
  <c r="F23" i="4"/>
  <c r="E23" i="4"/>
  <c r="D23" i="4"/>
  <c r="C23" i="4"/>
  <c r="O23" i="4" s="1"/>
  <c r="J22" i="4"/>
  <c r="I22" i="4"/>
  <c r="K22" i="4" s="1"/>
  <c r="N22" i="4" s="1"/>
  <c r="H22" i="4"/>
  <c r="G22" i="4"/>
  <c r="F22" i="4"/>
  <c r="E22" i="4"/>
  <c r="D22" i="4"/>
  <c r="C22" i="4"/>
  <c r="N21" i="4"/>
  <c r="J21" i="4"/>
  <c r="I21" i="4"/>
  <c r="K21" i="4" s="1"/>
  <c r="H21" i="4"/>
  <c r="G21" i="4"/>
  <c r="F21" i="4"/>
  <c r="E21" i="4"/>
  <c r="D21" i="4"/>
  <c r="C21" i="4"/>
  <c r="O21" i="4" s="1"/>
  <c r="N20" i="4"/>
  <c r="J20" i="4"/>
  <c r="I20" i="4"/>
  <c r="K20" i="4" s="1"/>
  <c r="H20" i="4"/>
  <c r="G20" i="4"/>
  <c r="F20" i="4"/>
  <c r="E20" i="4"/>
  <c r="D20" i="4"/>
  <c r="C20" i="4"/>
  <c r="O20" i="4" s="1"/>
  <c r="N19" i="4"/>
  <c r="J19" i="4"/>
  <c r="I19" i="4"/>
  <c r="K19" i="4" s="1"/>
  <c r="H19" i="4"/>
  <c r="G19" i="4"/>
  <c r="F19" i="4"/>
  <c r="E19" i="4"/>
  <c r="D19" i="4"/>
  <c r="C19" i="4"/>
  <c r="O19" i="4" s="1"/>
  <c r="N18" i="4"/>
  <c r="J18" i="4"/>
  <c r="I18" i="4"/>
  <c r="K18" i="4" s="1"/>
  <c r="H18" i="4"/>
  <c r="G18" i="4"/>
  <c r="F18" i="4"/>
  <c r="E18" i="4"/>
  <c r="D18" i="4"/>
  <c r="C18" i="4"/>
  <c r="O18" i="4" s="1"/>
  <c r="N17" i="4"/>
  <c r="J17" i="4"/>
  <c r="I17" i="4"/>
  <c r="K17" i="4" s="1"/>
  <c r="H17" i="4"/>
  <c r="G17" i="4"/>
  <c r="F17" i="4"/>
  <c r="E17" i="4"/>
  <c r="D17" i="4"/>
  <c r="C17" i="4"/>
  <c r="O17" i="4" s="1"/>
  <c r="J16" i="4"/>
  <c r="I16" i="4"/>
  <c r="K16" i="4" s="1"/>
  <c r="N16" i="4" s="1"/>
  <c r="H16" i="4"/>
  <c r="G16" i="4"/>
  <c r="F16" i="4"/>
  <c r="E16" i="4"/>
  <c r="D16" i="4"/>
  <c r="C16" i="4"/>
  <c r="J15" i="4"/>
  <c r="I15" i="4"/>
  <c r="K15" i="4" s="1"/>
  <c r="N15" i="4" s="1"/>
  <c r="H15" i="4"/>
  <c r="G15" i="4"/>
  <c r="F15" i="4"/>
  <c r="E15" i="4"/>
  <c r="D15" i="4"/>
  <c r="C15" i="4"/>
  <c r="J14" i="4"/>
  <c r="J26" i="4" s="1"/>
  <c r="I14" i="4"/>
  <c r="H14" i="4"/>
  <c r="H26" i="4" s="1"/>
  <c r="G14" i="4"/>
  <c r="G26" i="4" s="1"/>
  <c r="F14" i="4"/>
  <c r="F26" i="4" s="1"/>
  <c r="E14" i="4"/>
  <c r="D14" i="4"/>
  <c r="D26" i="4" s="1"/>
  <c r="C14" i="4"/>
  <c r="C26" i="4" s="1"/>
  <c r="C9" i="4"/>
  <c r="P203" i="2"/>
  <c r="O203" i="2"/>
  <c r="C8" i="4" s="1"/>
  <c r="C10" i="4" s="1"/>
  <c r="N203" i="2"/>
  <c r="C7" i="4" s="1"/>
  <c r="M203" i="2"/>
  <c r="C6" i="4" s="1"/>
  <c r="L203" i="2"/>
  <c r="C5" i="4" s="1"/>
  <c r="K203" i="2"/>
  <c r="C4" i="4" s="1"/>
  <c r="J203" i="2"/>
  <c r="I203" i="2"/>
  <c r="E29" i="1"/>
  <c r="E28" i="1"/>
  <c r="E27" i="1"/>
  <c r="E26" i="1"/>
  <c r="E25" i="1"/>
  <c r="E24" i="1"/>
  <c r="E23" i="1"/>
  <c r="E22" i="1"/>
  <c r="E21" i="1"/>
  <c r="E20" i="1"/>
  <c r="E19" i="1"/>
  <c r="E12" i="1"/>
  <c r="E11" i="1"/>
  <c r="E8" i="1"/>
  <c r="E6" i="1"/>
  <c r="E5" i="1"/>
  <c r="E4" i="1"/>
  <c r="O22" i="4" l="1"/>
  <c r="K30" i="4"/>
  <c r="I42" i="4"/>
  <c r="L42" i="4"/>
  <c r="M30" i="4"/>
  <c r="L30" i="4"/>
  <c r="B13" i="1"/>
  <c r="E3" i="1"/>
  <c r="C13" i="1"/>
  <c r="D13" i="1" s="1"/>
  <c r="D3" i="1"/>
  <c r="D4" i="1"/>
  <c r="D5" i="1"/>
  <c r="D6" i="1"/>
  <c r="B9" i="1"/>
  <c r="E7" i="1"/>
  <c r="C9" i="1"/>
  <c r="D7" i="1"/>
  <c r="D8" i="1"/>
  <c r="D11" i="1"/>
  <c r="D12" i="1"/>
  <c r="B30" i="1"/>
  <c r="E18" i="1"/>
  <c r="C30" i="1"/>
  <c r="D18" i="1"/>
  <c r="D19" i="1"/>
  <c r="D20" i="1"/>
  <c r="D21" i="1"/>
  <c r="D22" i="1"/>
  <c r="D23" i="1"/>
  <c r="D24" i="1"/>
  <c r="D25" i="1"/>
  <c r="D26" i="1"/>
  <c r="D27" i="1"/>
  <c r="D28" i="1"/>
  <c r="D29" i="1"/>
  <c r="E26" i="4"/>
  <c r="L14" i="4"/>
  <c r="I26" i="4"/>
  <c r="K14" i="4"/>
  <c r="N14" i="4" s="1"/>
  <c r="O15" i="4"/>
  <c r="M15" i="4"/>
  <c r="L15" i="4"/>
  <c r="O16" i="4"/>
  <c r="M16" i="4"/>
  <c r="L16" i="4"/>
  <c r="M17" i="4"/>
  <c r="L17" i="4"/>
  <c r="M18" i="4"/>
  <c r="L18" i="4"/>
  <c r="M19" i="4"/>
  <c r="L19" i="4"/>
  <c r="M20" i="4"/>
  <c r="L20" i="4"/>
  <c r="M21" i="4"/>
  <c r="L21" i="4"/>
  <c r="M22" i="4"/>
  <c r="L22" i="4"/>
  <c r="M23" i="4"/>
  <c r="L23" i="4"/>
  <c r="M24" i="4"/>
  <c r="L24" i="4"/>
  <c r="M25" i="4"/>
  <c r="L25" i="4"/>
  <c r="N30" i="4" l="1"/>
  <c r="K42" i="4"/>
  <c r="O31" i="4"/>
  <c r="K26" i="4"/>
  <c r="N26" i="4" s="1"/>
  <c r="M14" i="4"/>
  <c r="M26" i="4"/>
  <c r="L26" i="4"/>
  <c r="D30" i="1"/>
  <c r="E30" i="1"/>
  <c r="D9" i="1"/>
  <c r="C14" i="1"/>
  <c r="E9" i="1"/>
  <c r="B14" i="1"/>
  <c r="E14" i="1" s="1"/>
  <c r="E13" i="1"/>
  <c r="N42" i="4" l="1"/>
  <c r="M42" i="4"/>
  <c r="D14" i="1"/>
</calcChain>
</file>

<file path=xl/sharedStrings.xml><?xml version="1.0" encoding="utf-8"?>
<sst xmlns="http://schemas.openxmlformats.org/spreadsheetml/2006/main" count="2672" uniqueCount="466">
  <si>
    <t>COMPARATIVO ANUAL — 2025 vs 2026  |  Bela Cereais Grupo</t>
  </si>
  <si>
    <t>Indicador</t>
  </si>
  <si>
    <t>Variação (R$)</t>
  </si>
  <si>
    <t>Variação (%)</t>
  </si>
  <si>
    <t>Lucro Bruto (Contratos)</t>
  </si>
  <si>
    <t>(-) Total Frete</t>
  </si>
  <si>
    <t>(-) Impostos sobre contratos</t>
  </si>
  <si>
    <t>(-) Comissões</t>
  </si>
  <si>
    <t>(=) Lucro Líquido Operacional</t>
  </si>
  <si>
    <t>(-) Despesas Administrativas</t>
  </si>
  <si>
    <t>(=) LUCRO LÍQUIDO FINAL</t>
  </si>
  <si>
    <t>Peso Total (Kg)</t>
  </si>
  <si>
    <t>Nº Contratos</t>
  </si>
  <si>
    <t>Margem Bruta %</t>
  </si>
  <si>
    <t>Margem Líquida %</t>
  </si>
  <si>
    <t>EVOLUÇÃO MENSAL COMPARATIVA — Lucro Líquido Operacional</t>
  </si>
  <si>
    <t>Mês</t>
  </si>
  <si>
    <t>Δ R$</t>
  </si>
  <si>
    <t>Δ %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</si>
  <si>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</si>
  <si>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</si>
  <si>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</si>
  <si>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</si>
  <si>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</si>
  <si>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</si>
  <si>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</si>
  <si>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</si>
  <si>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</si>
  <si>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</si>
  <si>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</si>
  <si>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</si>
  <si>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ANUAL</t>
  </si>
  <si>
    <t>Produto</t>
  </si>
  <si>
    <t>SOJA EM GRAOS</t>
  </si>
  <si>
    <t>Empresa</t>
  </si>
  <si>
    <t>Ano</t>
  </si>
  <si>
    <t>Contrato V</t>
  </si>
  <si>
    <t>Contrato C</t>
  </si>
  <si>
    <t>Fornecedor</t>
  </si>
  <si>
    <t>Cliente</t>
  </si>
  <si>
    <t>Peso Kg</t>
  </si>
  <si>
    <t>Sacas/Ton</t>
  </si>
  <si>
    <t>Lucro Bruto</t>
  </si>
  <si>
    <t>Total Frete</t>
  </si>
  <si>
    <t>Impostos</t>
  </si>
  <si>
    <t>Comissão</t>
  </si>
  <si>
    <t>Lucro Líq.</t>
  </si>
  <si>
    <t>Lucro Sc/Tn</t>
  </si>
  <si>
    <t>BUNGE ALIMENTOS S/A</t>
  </si>
  <si>
    <t>LOUIS DREYFUS COMPANY BRASIL S.A.</t>
  </si>
  <si>
    <t>DIEGO FERREIRA DE ASSIS</t>
  </si>
  <si>
    <t>MM</t>
  </si>
  <si>
    <t>SILVIO CESAR VERDELIO E OUTRO</t>
  </si>
  <si>
    <t>AMAGGI EXPORTACAO E IMPORTACAO LTDA</t>
  </si>
  <si>
    <t>Total</t>
  </si>
  <si>
    <t>Item</t>
  </si>
  <si>
    <t>Valor</t>
  </si>
  <si>
    <t>DIVERSOS</t>
  </si>
  <si>
    <t>COMBUSTIVEL</t>
  </si>
  <si>
    <t>CSLL</t>
  </si>
  <si>
    <t>ENERGIA</t>
  </si>
  <si>
    <t>HONORARIO CONTABEL</t>
  </si>
  <si>
    <t>HOSPEDAGEM</t>
  </si>
  <si>
    <t>INFORMATICA</t>
  </si>
  <si>
    <t>INSS</t>
  </si>
  <si>
    <t>INTERNET</t>
  </si>
  <si>
    <t>IOF</t>
  </si>
  <si>
    <t>IRPF</t>
  </si>
  <si>
    <t>IRPJ</t>
  </si>
  <si>
    <t>JUROS EMPRESTIMOS</t>
  </si>
  <si>
    <t>OUTROS IMPOSTOS E TAXAS</t>
  </si>
  <si>
    <t>PRO-LABORE</t>
  </si>
  <si>
    <t>REFEICOES/ALIMENTACAO</t>
  </si>
  <si>
    <t>SISTEMA GERENTE MAX</t>
  </si>
  <si>
    <t>TARIFA BANCARIA</t>
  </si>
  <si>
    <t>BALSA</t>
  </si>
  <si>
    <t>CUSTAS CARTORIAIS</t>
  </si>
  <si>
    <t>PROPAGANDA/PUBLICIDADE</t>
  </si>
  <si>
    <t>JUROS FORNECEDORES</t>
  </si>
  <si>
    <t>(-) Impostos Contratos</t>
  </si>
  <si>
    <t>Qtde Contratos</t>
  </si>
  <si>
    <t>Peso Kg Total</t>
  </si>
  <si>
    <t>Impostos Cont.</t>
  </si>
  <si>
    <t>Comissões</t>
  </si>
  <si>
    <t>Luc. Liq. Oper.</t>
  </si>
  <si>
    <t>Desp. Admin.</t>
  </si>
  <si>
    <t>Lucro Líq. Final</t>
  </si>
  <si>
    <t>Mg. Bruta %</t>
  </si>
  <si>
    <t>Mg. Líq. %</t>
  </si>
  <si>
    <t>Resultado</t>
  </si>
  <si>
    <t>Var. Mês Ant.</t>
  </si>
  <si>
    <t>Janeiro/2026</t>
  </si>
  <si>
    <t>-</t>
  </si>
  <si>
    <t>Fevereiro/2026</t>
  </si>
  <si>
    <t>Março/2026</t>
  </si>
  <si>
    <t>Abril/2026</t>
  </si>
  <si>
    <t>Maio/2026</t>
  </si>
  <si>
    <t>Junho/2026</t>
  </si>
  <si>
    <t>Julho/2026</t>
  </si>
  <si>
    <t>Agosto/2026</t>
  </si>
  <si>
    <t>Setembro/2026</t>
  </si>
  <si>
    <t>Outubro/2026</t>
  </si>
  <si>
    <t>Novembro/2026</t>
  </si>
  <si>
    <t>Dezembro/2026</t>
  </si>
  <si>
    <t>TOTAL ANUAL 2026</t>
  </si>
  <si>
    <t>Janeiro/2025</t>
  </si>
  <si>
    <t>Fevereiro/2025</t>
  </si>
  <si>
    <t>Março/2025</t>
  </si>
  <si>
    <t>Abril/2025</t>
  </si>
  <si>
    <t>Maio/2025</t>
  </si>
  <si>
    <t>Junho/2025</t>
  </si>
  <si>
    <t>Julho/2025</t>
  </si>
  <si>
    <t>Agosto/2025</t>
  </si>
  <si>
    <t>Setembro/2025</t>
  </si>
  <si>
    <t>Outubro/2025</t>
  </si>
  <si>
    <t>Novembro/2025</t>
  </si>
  <si>
    <t>Dezembro/2025</t>
  </si>
  <si>
    <t>TOTAL ANUAL 2025</t>
  </si>
  <si>
    <t>GRUPO</t>
  </si>
  <si>
    <t>BELA CEREAIS</t>
  </si>
  <si>
    <t>HISTÓRICO MENSAL GRUPO 2025</t>
  </si>
  <si>
    <t>HISTORICO MENSAL GRUPO 2025</t>
  </si>
  <si>
    <t>Resumo Global</t>
  </si>
  <si>
    <t>0194/25 - SO</t>
  </si>
  <si>
    <t>0195/25 - SO</t>
  </si>
  <si>
    <t>ANACLETO BRUNETTA E OUTROS</t>
  </si>
  <si>
    <t>ENGELHART CTP BRASIL S.A.</t>
  </si>
  <si>
    <t>0198/25 - SO</t>
  </si>
  <si>
    <t>0197/25 - SO</t>
  </si>
  <si>
    <t>IVETE TEREZINHA GALLO</t>
  </si>
  <si>
    <t>0199/25 - SO</t>
  </si>
  <si>
    <t>ENGELHART CTP (BRASIL) S.A.</t>
  </si>
  <si>
    <t>0204/25 - POP</t>
  </si>
  <si>
    <t>SOMAR AGRONEGOCIOS EIRELLI ME</t>
  </si>
  <si>
    <t>POP QUIMAR 164</t>
  </si>
  <si>
    <t>0188/24 - SO</t>
  </si>
  <si>
    <t>0179/24 - SO</t>
  </si>
  <si>
    <t>RICARDO PANCOTTE</t>
  </si>
  <si>
    <t>0191/25 - SO</t>
  </si>
  <si>
    <t>0192/25 - SO</t>
  </si>
  <si>
    <t>0177/24 - SO</t>
  </si>
  <si>
    <t>0196/25 - SO</t>
  </si>
  <si>
    <t>0200/25 - SO</t>
  </si>
  <si>
    <t>FERNANDO CESAR FACHOLLI</t>
  </si>
  <si>
    <t>0201/25 - SO</t>
  </si>
  <si>
    <t>0205/25 - SO</t>
  </si>
  <si>
    <t>0187/24 - SO</t>
  </si>
  <si>
    <t>0175/24 - SO</t>
  </si>
  <si>
    <t>0193/25 - SO</t>
  </si>
  <si>
    <t>0203/25 - SO</t>
  </si>
  <si>
    <t>0206/25 - SO</t>
  </si>
  <si>
    <t>AGRICOLA ALVORADA S.A.</t>
  </si>
  <si>
    <t>0207/25 - SO</t>
  </si>
  <si>
    <t>0208/25 - SO</t>
  </si>
  <si>
    <t>0189/24 - SO</t>
  </si>
  <si>
    <t>RICARDO BRIZOT NICARETTA</t>
  </si>
  <si>
    <t>BELA CEREAIS COMERCIO LTDA</t>
  </si>
  <si>
    <t>0210/25 - SO</t>
  </si>
  <si>
    <t>0212/25 - SO</t>
  </si>
  <si>
    <t>0211/25 - SO</t>
  </si>
  <si>
    <t>0217/25 - SO</t>
  </si>
  <si>
    <t>0213/25 - SO</t>
  </si>
  <si>
    <t>0216/25 - SO</t>
  </si>
  <si>
    <t>0214/25 - SO</t>
  </si>
  <si>
    <t>0215/25 - SO</t>
  </si>
  <si>
    <t>SANTA RITA AGRONEGOCIOS LTDA</t>
  </si>
  <si>
    <t>JUROS DE ANTECIPACAO</t>
  </si>
  <si>
    <t>0218/25 - SO</t>
  </si>
  <si>
    <t>BTG PACTUAL COMMODITIES SERTRADING S.A.</t>
  </si>
  <si>
    <t>0220/25 - SO</t>
  </si>
  <si>
    <t>0202/25 - SO</t>
  </si>
  <si>
    <t>0221/25 - SO</t>
  </si>
  <si>
    <t>0222/25 - AR</t>
  </si>
  <si>
    <t>FEIJAO CAUPI</t>
  </si>
  <si>
    <t>0227/25 - MV</t>
  </si>
  <si>
    <t>UNIAO COMERCIO LTDA</t>
  </si>
  <si>
    <t>FEIJAO MUNGO VERDE</t>
  </si>
  <si>
    <t>0226/25 - MP</t>
  </si>
  <si>
    <t>0225/25 - MP</t>
  </si>
  <si>
    <t>FEIJAO MUNGO PRETO</t>
  </si>
  <si>
    <t>JUROS S/ MUTUO SOCIO</t>
  </si>
  <si>
    <t>COMISSAO CONTRATO</t>
  </si>
  <si>
    <t>FRETES/ENCOMENDAS</t>
  </si>
  <si>
    <t>0228/25 - FC</t>
  </si>
  <si>
    <t>0229/25 - FC</t>
  </si>
  <si>
    <t>VARGAS INDUSTRIA E COMERCIO DE ALIMENTOS LTDA</t>
  </si>
  <si>
    <t>0231/25 - CS</t>
  </si>
  <si>
    <t>0232/25 - CS</t>
  </si>
  <si>
    <t>TRES TENTOS AGROINDUSTRIAL S/A</t>
  </si>
  <si>
    <t>JOSE EDUARDO MUFFATO E OUTROS</t>
  </si>
  <si>
    <t>CASCA DE SOJA</t>
  </si>
  <si>
    <t>ANALISE LABORATORIO</t>
  </si>
  <si>
    <t>BENEFICIAMENTO DE GRAOS</t>
  </si>
  <si>
    <t>HONORARIO ADVOCATICIOS</t>
  </si>
  <si>
    <t>MATERIAL BENS/CONSUMO</t>
  </si>
  <si>
    <t>0234/25 - SO</t>
  </si>
  <si>
    <t>0235/25 - SO</t>
  </si>
  <si>
    <t>ALCIDES AUGUSTO DA FONSECA JUNIOR</t>
  </si>
  <si>
    <t>CORREIO</t>
  </si>
  <si>
    <t>CUSTAS JUDICIAIS</t>
  </si>
  <si>
    <t>0236/25 - SO</t>
  </si>
  <si>
    <t>0237/25 - SO</t>
  </si>
  <si>
    <t>PLANTA BRASIL AGRONEGOCIOS LTDA</t>
  </si>
  <si>
    <t>0238/25 - SO</t>
  </si>
  <si>
    <t>0239/25 - CA</t>
  </si>
  <si>
    <t>0233/25 - CA</t>
  </si>
  <si>
    <t>FRANKIE ROBERTO SOUZA E MONTAGNI</t>
  </si>
  <si>
    <t>CAROCO DE ALGODAO</t>
  </si>
  <si>
    <t>0240/25 - MI</t>
  </si>
  <si>
    <t>0219/25 - MI</t>
  </si>
  <si>
    <t>MILHO</t>
  </si>
  <si>
    <t>0354/25 - ML</t>
  </si>
  <si>
    <t>0351/25 - ML</t>
  </si>
  <si>
    <t>OSCAR NOBUHIRO ISHIDA</t>
  </si>
  <si>
    <t>MATHEUS FELIX DOS SANTOS</t>
  </si>
  <si>
    <t>MILHETO</t>
  </si>
  <si>
    <t>BC_MATRIZ</t>
  </si>
  <si>
    <t>AGUA</t>
  </si>
  <si>
    <t>AJUSTE NDF</t>
  </si>
  <si>
    <t>HONORARIOS DIVERSOS</t>
  </si>
  <si>
    <t>PARCELAMENTO SEFAZ</t>
  </si>
  <si>
    <t>PASSAGEM AEREA</t>
  </si>
  <si>
    <t>PEDAGIO</t>
  </si>
  <si>
    <t>SEGURO CARGA</t>
  </si>
  <si>
    <t>TARIFA CAMBIO/EXPORTACAO</t>
  </si>
  <si>
    <t>TAXA FINANCIAMENTO</t>
  </si>
  <si>
    <t>TELEFONE MOVEL</t>
  </si>
  <si>
    <t>0359/25 - MP</t>
  </si>
  <si>
    <t>PAULO SERGIO AGUIAR</t>
  </si>
  <si>
    <t>0361/25 - AR</t>
  </si>
  <si>
    <t>ARROZ</t>
  </si>
  <si>
    <t>CURSOS/SEMINARIOS</t>
  </si>
  <si>
    <t>MANUTENCAO VEICULOS</t>
  </si>
  <si>
    <t>ASSOCIACAO DE CLASSE</t>
  </si>
  <si>
    <t>0358/25 - SO</t>
  </si>
  <si>
    <t>0357/25 - SO</t>
  </si>
  <si>
    <t>CESAR TORRES VEDANA</t>
  </si>
  <si>
    <t>0363/25 - SO</t>
  </si>
  <si>
    <t>0362/25 - SO</t>
  </si>
  <si>
    <t>MM COMERCIO DE CEREAIS LTDA</t>
  </si>
  <si>
    <t>0365/25 - SO</t>
  </si>
  <si>
    <t>0364/25 - SO</t>
  </si>
  <si>
    <t>MARCIO VICTOR BELOTI</t>
  </si>
  <si>
    <t>CUTRALE TRADING BRASIL LTDA.</t>
  </si>
  <si>
    <t>0367/25 - SO</t>
  </si>
  <si>
    <t>0366/25 - SO</t>
  </si>
  <si>
    <t>0368/25 - SO</t>
  </si>
  <si>
    <t>0372/25 - SO</t>
  </si>
  <si>
    <t>0371/25 - SO</t>
  </si>
  <si>
    <t>VALQUIRIA MARCELINO FERREIRA ABREU</t>
  </si>
  <si>
    <t>0373/25 - SO</t>
  </si>
  <si>
    <t>CONSULTA DE PERFIL PROFISSIONAL</t>
  </si>
  <si>
    <t>0378/25 - MV</t>
  </si>
  <si>
    <t>ADEMAR VANZELA</t>
  </si>
  <si>
    <t>0380/25 - AR</t>
  </si>
  <si>
    <t>BERNARDO JEAN PANCOTTE</t>
  </si>
  <si>
    <t>0376/25 - AR</t>
  </si>
  <si>
    <t>0377/25 - SO</t>
  </si>
  <si>
    <t>0375/25 - SO</t>
  </si>
  <si>
    <t>ICMS S/ FRETE</t>
  </si>
  <si>
    <t>MANUTENCAO SALA</t>
  </si>
  <si>
    <t>0379/25 - MP</t>
  </si>
  <si>
    <t>0383/25 - MP</t>
  </si>
  <si>
    <t>0382/25 - MV</t>
  </si>
  <si>
    <t>SUKSAWADI AGRICULTURAL PRODUCTS CO LTD</t>
  </si>
  <si>
    <t>0386/25 - MV</t>
  </si>
  <si>
    <t>0385/25 - MV</t>
  </si>
  <si>
    <t>WILLIAN RICARDO CHOPTIAN</t>
  </si>
  <si>
    <t>ADROIT OVERSEAS PTE LTD</t>
  </si>
  <si>
    <t>ISS</t>
  </si>
  <si>
    <t>0387/25 - MP</t>
  </si>
  <si>
    <t>JASHAN FOODSTUFF TRADING LLC</t>
  </si>
  <si>
    <t>JUROS/ENCARGOS</t>
  </si>
  <si>
    <t>0384/25 - CA</t>
  </si>
  <si>
    <t>0355/25 - CA</t>
  </si>
  <si>
    <t>M.R. CEREAIS LTDA</t>
  </si>
  <si>
    <t>PAULO ROBERTO VIADANNA</t>
  </si>
  <si>
    <t>0356/25 - CA</t>
  </si>
  <si>
    <t>SHEILLA MARIE MONTAGNI BREZOLIN</t>
  </si>
  <si>
    <t>0388/25 - FC</t>
  </si>
  <si>
    <t>0392/25 - FC</t>
  </si>
  <si>
    <t>0389/25 - FC</t>
  </si>
  <si>
    <t>JASHAN FOODSTUFF TRADING FZC</t>
  </si>
  <si>
    <t>0391/25 - FC</t>
  </si>
  <si>
    <t>FEIRAS/EXPOSICOES</t>
  </si>
  <si>
    <t>INSTALACAO/MONTAGEM ESCRITORIO 505 SUL PALMAS TO</t>
  </si>
  <si>
    <t>SERVICOS PORTUARIOS</t>
  </si>
  <si>
    <t>0395/25 - MP</t>
  </si>
  <si>
    <t>ADRIANO DUARTE DE OLIVEIRA</t>
  </si>
  <si>
    <t>0396/25 - SO</t>
  </si>
  <si>
    <t>0394/25 - SO</t>
  </si>
  <si>
    <t>CUTRALE TRADING BRASIL LTDA</t>
  </si>
  <si>
    <t>0398/25 - CA</t>
  </si>
  <si>
    <t>EVARISTO JUNQUEIRA NETO</t>
  </si>
  <si>
    <t>0399/25 - CA</t>
  </si>
  <si>
    <t>VITOR RORATTO NEVES</t>
  </si>
  <si>
    <t>0401/25 - SO</t>
  </si>
  <si>
    <t>0400/25 - SO</t>
  </si>
  <si>
    <t>0402/25 - CA</t>
  </si>
  <si>
    <t>CAIO MONTEIRO DE BARROS FURLAN DE ALMEIDA E OUTRO</t>
  </si>
  <si>
    <t>0403/25 - CA</t>
  </si>
  <si>
    <t>LACTALIS DO BRASIL - COM IMP EXPT LTDA</t>
  </si>
  <si>
    <t>ALUGUEL</t>
  </si>
  <si>
    <t>IPTU</t>
  </si>
  <si>
    <t>0390/25 - FC</t>
  </si>
  <si>
    <t>0404/25 - CA</t>
  </si>
  <si>
    <t>PEDRO FAVARETTO FILHO</t>
  </si>
  <si>
    <t>0410/25 - CA</t>
  </si>
  <si>
    <t>0408/25 - CA</t>
  </si>
  <si>
    <t>MANOEL MIGUEL NASCIMENTO</t>
  </si>
  <si>
    <t>0411/25 - FC</t>
  </si>
  <si>
    <t>LIMA COMERCIO DE FEIJAO LTDA</t>
  </si>
  <si>
    <t>0412/25 - CA</t>
  </si>
  <si>
    <t>LUCAS ANTONIO MORO GONCALEZ</t>
  </si>
  <si>
    <t>0414/25 - FC</t>
  </si>
  <si>
    <t>0426/25 - FC</t>
  </si>
  <si>
    <t>AGROWIRRIS COMERCIO E INDUSTRIA LTDA</t>
  </si>
  <si>
    <t>AGC BRAZIL COMERCIAL EXPORTADORA LTDA</t>
  </si>
  <si>
    <t>0415/25 - MP</t>
  </si>
  <si>
    <t>PAWAN INDUSTRIES</t>
  </si>
  <si>
    <t>0418/25 - CA</t>
  </si>
  <si>
    <t>ANA JULIA FERREIRA JACINTHO JORGE E OUTROS</t>
  </si>
  <si>
    <t>0419/25 - CA</t>
  </si>
  <si>
    <t>ANTONIO CARLOS STABILE E OUTROS</t>
  </si>
  <si>
    <t>0413/25 - CA</t>
  </si>
  <si>
    <t>0420/25 - ML</t>
  </si>
  <si>
    <t>0425/25 - ML</t>
  </si>
  <si>
    <t>CIRINEU DE AGUIAR</t>
  </si>
  <si>
    <t>SHINDI UEMURA E OUTROS</t>
  </si>
  <si>
    <t>0424/25 - CA</t>
  </si>
  <si>
    <t>MARCIA REGINA ALVES DE PAULA LOURENCO</t>
  </si>
  <si>
    <t>0427/25 - CA</t>
  </si>
  <si>
    <t>ADRIANO OKANO</t>
  </si>
  <si>
    <t>CONSULTORIA DE NEGOCIOS INTERNACIONAIS</t>
  </si>
  <si>
    <t>SEGURO DE CREDITO</t>
  </si>
  <si>
    <t>0431/25 - CA</t>
  </si>
  <si>
    <t>0432/25 - ML</t>
  </si>
  <si>
    <t>RODRIGO HISASHI IKEDA E OUTRO</t>
  </si>
  <si>
    <t>0433/25 - FC</t>
  </si>
  <si>
    <t>0435/25 - FC</t>
  </si>
  <si>
    <t>LUCAS GUSTAVO RAMOS ALVES</t>
  </si>
  <si>
    <t>ESTUFAGEM</t>
  </si>
  <si>
    <t>ETIQUETAGEM</t>
  </si>
  <si>
    <t>FUMICACAO/TRATAMENTO</t>
  </si>
  <si>
    <t>SACARIA</t>
  </si>
  <si>
    <t>TERRENO LUZIMANGUES</t>
  </si>
  <si>
    <t>0374/25 - SO</t>
  </si>
  <si>
    <t>0407/25 - FC</t>
  </si>
  <si>
    <t>0405/25 - MV</t>
  </si>
  <si>
    <t>0406/25 - MV</t>
  </si>
  <si>
    <t>ELIO LUIZ CARLOTT</t>
  </si>
  <si>
    <t>0397/25 - FC</t>
  </si>
  <si>
    <t>MOL ENTERPRISES</t>
  </si>
  <si>
    <t>0393/25 - MP</t>
  </si>
  <si>
    <t>AKSHAR AGRI INDIA PRIVATE LIMITED</t>
  </si>
  <si>
    <t>BC_FILIAL</t>
  </si>
  <si>
    <t>0353/25 - SAL</t>
  </si>
  <si>
    <t>JAYME HIROYAS HASEGAWA</t>
  </si>
  <si>
    <t>SAL</t>
  </si>
  <si>
    <t>0354/25 - AR</t>
  </si>
  <si>
    <t>0357/25 - FC</t>
  </si>
  <si>
    <t>GLOBO COMERCIO DE CEREAIS LTDA</t>
  </si>
  <si>
    <t>0358/25 - FC</t>
  </si>
  <si>
    <t>C.E.L COMERCIO E FABRICACAO DE PRODUTOS VEGETAL LTDA</t>
  </si>
  <si>
    <t>0360/25 - FC</t>
  </si>
  <si>
    <t>0362/25 - FC</t>
  </si>
  <si>
    <t>ANTARES AGRONEGOCIO LTDA</t>
  </si>
  <si>
    <t>0361/25 - FC</t>
  </si>
  <si>
    <t>AURELIO CAMPOS DE ARAUJO</t>
  </si>
  <si>
    <t>0363/25 - MP</t>
  </si>
  <si>
    <t>HMS GRAOS LTDA</t>
  </si>
  <si>
    <t>0440/26 - CA</t>
  </si>
  <si>
    <t>0438/26 - CA</t>
  </si>
  <si>
    <t>0442/26 - SO</t>
  </si>
  <si>
    <t>0409/25 - SO</t>
  </si>
  <si>
    <t>FELIPE DEI RICARDI</t>
  </si>
  <si>
    <t>0443/26 - SO</t>
  </si>
  <si>
    <t>THIAGO FACHOLLI</t>
  </si>
  <si>
    <t>CERTIFICADO</t>
  </si>
  <si>
    <t>FRETE MARITIMO</t>
  </si>
  <si>
    <t>0242/26 - SO</t>
  </si>
  <si>
    <t>0243/26 - SO</t>
  </si>
  <si>
    <t>ALENCAR KACIANO GALLO</t>
  </si>
  <si>
    <t>0244/26 - SO</t>
  </si>
  <si>
    <t>ANDREY GUSTAVO GALLO</t>
  </si>
  <si>
    <t>0230/25 - SO</t>
  </si>
  <si>
    <t>0245/26 - SO</t>
  </si>
  <si>
    <t>0246/26 - SO</t>
  </si>
  <si>
    <t>ANDRE LUIZ SALLES SCUTTI</t>
  </si>
  <si>
    <t>0250/26 - SO</t>
  </si>
  <si>
    <t>0241/26 - SO</t>
  </si>
  <si>
    <t>0248/26 - SO</t>
  </si>
  <si>
    <t>0247/26 - SO</t>
  </si>
  <si>
    <t>0249/26 - SO</t>
  </si>
  <si>
    <t>0251/26 - SO</t>
  </si>
  <si>
    <t>0252/26 - SO</t>
  </si>
  <si>
    <t>0253/26 - SO</t>
  </si>
  <si>
    <t>0255/26 - MP</t>
  </si>
  <si>
    <t>BELA CEREAIS COMERCIO LTDA.</t>
  </si>
  <si>
    <t>0254/26 - SO</t>
  </si>
  <si>
    <t>0453/26 - CA</t>
  </si>
  <si>
    <t>0465/26 - SO</t>
  </si>
  <si>
    <t>0444/26 - SO</t>
  </si>
  <si>
    <t>0449/26 - SO</t>
  </si>
  <si>
    <t>0450/26 - SO</t>
  </si>
  <si>
    <t>0446/26 - SO</t>
  </si>
  <si>
    <t>0445/26 - SO</t>
  </si>
  <si>
    <t>0439/26 - SO</t>
  </si>
  <si>
    <t>CRISTIANO CORREIA FAVARIN</t>
  </si>
  <si>
    <t>0451/26 - SO</t>
  </si>
  <si>
    <t>0441/26 - SO</t>
  </si>
  <si>
    <t>BARBARA OLIVEIRA FUSCO</t>
  </si>
  <si>
    <t>0455/26 - SO</t>
  </si>
  <si>
    <t>0452/26 - SO</t>
  </si>
  <si>
    <t>0422/25 - SO</t>
  </si>
  <si>
    <t>GEOVAN BARBOSA DIAS</t>
  </si>
  <si>
    <t>0461/26 - SO</t>
  </si>
  <si>
    <t>0454/26 - SO</t>
  </si>
  <si>
    <t>0456/26 - SO</t>
  </si>
  <si>
    <t>0458/26 - SO</t>
  </si>
  <si>
    <t>0460/26 - SO</t>
  </si>
  <si>
    <t>0459/26 - SO</t>
  </si>
  <si>
    <t>0463/26 - SO</t>
  </si>
  <si>
    <t>0462/26 - SO</t>
  </si>
  <si>
    <t>0464/26 - SO</t>
  </si>
  <si>
    <t>0466/26 - SO</t>
  </si>
  <si>
    <t>0468/26 - SO</t>
  </si>
  <si>
    <t>0467/26 - SO</t>
  </si>
  <si>
    <t>0469/26 - SO</t>
  </si>
  <si>
    <t>0470/26 - SO</t>
  </si>
  <si>
    <t>BENEFICIOS</t>
  </si>
  <si>
    <t>SALARIOS</t>
  </si>
  <si>
    <t>0364/26 - MP</t>
  </si>
  <si>
    <t>SAMBA FOODS LTDA</t>
  </si>
  <si>
    <t>0365/26 - MP</t>
  </si>
  <si>
    <t>0366/26 - MP</t>
  </si>
  <si>
    <t>DESPESA DE ARMAZENAGEM</t>
  </si>
  <si>
    <t>MATERIAL ESCRITORIO</t>
  </si>
  <si>
    <t>0457/26 - SO</t>
  </si>
  <si>
    <t>0417/25 - SO</t>
  </si>
  <si>
    <t>SINAIR TAVARES PRADO NETO</t>
  </si>
  <si>
    <t>0471/26 - SO</t>
  </si>
  <si>
    <t>0472/26 - SO</t>
  </si>
  <si>
    <t>0428/25 - SO</t>
  </si>
  <si>
    <t>EDICARLOS ALMEIDA GUEDES</t>
  </si>
  <si>
    <t>0473/26 - SO</t>
  </si>
  <si>
    <t>0476/26 - SO</t>
  </si>
  <si>
    <t>0477/26 - SO</t>
  </si>
  <si>
    <t>0367/26 - MV</t>
  </si>
  <si>
    <t>0368/26 - FC</t>
  </si>
  <si>
    <t>0369/26 - FC</t>
  </si>
  <si>
    <t>0370/26 - FC</t>
  </si>
  <si>
    <t>0371/26 - MP</t>
  </si>
  <si>
    <t>0256/26 - MV</t>
  </si>
  <si>
    <t>0257/26 - MV</t>
  </si>
  <si>
    <t>0258/26 - SO</t>
  </si>
  <si>
    <t>0263/26 - SO</t>
  </si>
  <si>
    <t>0262/26 - SO</t>
  </si>
  <si>
    <t>SIPAL INDUSTRIA E COMERCIO LTDA</t>
  </si>
  <si>
    <t>0264/26 - MP</t>
  </si>
  <si>
    <t>0265/26 - MP</t>
  </si>
  <si>
    <t>0270/26 - FC</t>
  </si>
  <si>
    <t>0269/26 - FC</t>
  </si>
  <si>
    <t>FGTS</t>
  </si>
  <si>
    <t>ITBI</t>
  </si>
  <si>
    <t>RESCISÃO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</si>
</sst>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mmmm"/>
    <numFmt numFmtId="166" formatCode="_(\$* #,##0.00_);_(\$* \(#,##0.00\);_(\$* \-??_);_(@_)"/>
    <numFmt numFmtId="167" formatCode="_-&quot;R$ &quot;* #,##0.00_-;&quot;-R$ &quot;* #,##0.00_-;_-&quot;R$ &quot;* \-??_-;_-@_-"/>
    <numFmt numFmtId="168" formatCode="_-[$R$-416]\ * #,##0.00_-;\-[$R$-416]\ * #,##0.00_-;_-[$R$-416]\ * &quot;-&quot;??_-;_-@_-"/>
  </numFmts>
  <fonts count="35" x14ac:knownFonts="1">
    <font>
      <sz val="11"/>
      <color theme="1"/>
      <name val="Aptos Narrow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2E7D32"/>
      <name val="Arial"/>
      <family val="2"/>
    </font>
    <font>
      <sz val="10"/>
      <color rgb="FF000000"/>
      <name val="Arial"/>
      <family val="2"/>
    </font>
    <font>
      <sz val="10"/>
      <color rgb="FF37474F"/>
      <name val="Arial"/>
      <family val="2"/>
    </font>
    <font>
      <b/>
      <sz val="10"/>
      <color rgb="FFC62828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sz val="9"/>
      <color rgb="FF0000FF"/>
      <name val="Arial"/>
      <family val="2"/>
    </font>
    <font>
      <sz val="9"/>
      <color theme="1"/>
      <name val="Arial"/>
      <family val="2"/>
      <charset val="1"/>
    </font>
    <font>
      <b/>
      <sz val="10"/>
      <color theme="0"/>
      <name val="Arial"/>
      <family val="2"/>
      <charset val="1"/>
    </font>
    <font>
      <sz val="9"/>
      <color rgb="FF000000"/>
      <name val="Arial"/>
      <family val="2"/>
      <charset val="1"/>
    </font>
    <font>
      <b/>
      <sz val="11"/>
      <color theme="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/>
      <sz val="11"/>
      <color theme="5" tint="-0.249977111117893"/>
      <name val="Aptos Narrow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0000FF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theme="0"/>
      <name val="Aptos Narrow"/>
      <family val="2"/>
    </font>
    <font>
      <b/>
      <sz val="12"/>
      <color rgb="FFFFFFFF"/>
      <name val="Arial"/>
      <family val="2"/>
    </font>
    <font>
      <sz val="9"/>
      <color rgb="FF0000FF"/>
      <name val="Arial"/>
      <family val="2"/>
    </font>
    <font>
      <sz val="9"/>
      <color rgb="FF000000"/>
      <name val="Calibri"/>
      <family val="2"/>
    </font>
    <font>
      <sz val="10"/>
      <name val="Calibri"/>
      <family val="2"/>
    </font>
    <font>
      <sz val="8"/>
      <name val="Aptos Narrow"/>
      <family val="2"/>
      <charset val="1"/>
    </font>
    <font>
      <b/>
      <sz val="11"/>
      <color theme="0"/>
      <name val="Arial"/>
      <family val="2"/>
    </font>
    <font>
      <sz val="9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1E4620"/>
        <bgColor rgb="FF37474F"/>
      </patternFill>
    </fill>
    <fill>
      <patternFill patternType="solid">
        <fgColor rgb="FF37474F"/>
        <bgColor rgb="FF1E4620"/>
      </patternFill>
    </fill>
    <fill>
      <patternFill patternType="solid">
        <fgColor rgb="FF1565C0"/>
        <bgColor rgb="FF1976D2"/>
      </patternFill>
    </fill>
    <fill>
      <patternFill patternType="solid">
        <fgColor rgb="FF2E7D32"/>
        <bgColor rgb="FF196B24"/>
      </patternFill>
    </fill>
    <fill>
      <patternFill patternType="solid">
        <fgColor rgb="FFC8E6C9"/>
        <bgColor rgb="FFC2F1C8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2F2F2"/>
      </patternFill>
    </fill>
    <fill>
      <patternFill patternType="solid">
        <fgColor rgb="FFFFCDD2"/>
        <bgColor rgb="FFD9D9D9"/>
      </patternFill>
    </fill>
    <fill>
      <patternFill patternType="solid">
        <fgColor rgb="FFE3F2FD"/>
        <bgColor rgb="FFF2F2F2"/>
      </patternFill>
    </fill>
    <fill>
      <patternFill patternType="solid">
        <fgColor rgb="FF1976D2"/>
        <bgColor rgb="FF1565C0"/>
      </patternFill>
    </fill>
    <fill>
      <patternFill patternType="solid">
        <fgColor rgb="FFFFF9C4"/>
        <bgColor rgb="FFF5F5F5"/>
      </patternFill>
    </fill>
    <fill>
      <patternFill patternType="solid">
        <fgColor theme="5"/>
        <bgColor rgb="FFFF8080"/>
      </patternFill>
    </fill>
    <fill>
      <patternFill patternType="solid">
        <fgColor theme="6" tint="0.79979857783745845"/>
        <bgColor rgb="FFC8E6C9"/>
      </patternFill>
    </fill>
    <fill>
      <patternFill patternType="solid">
        <fgColor theme="0" tint="-4.9989318521683403E-2"/>
        <bgColor rgb="FFF5F5F5"/>
      </patternFill>
    </fill>
    <fill>
      <patternFill patternType="solid">
        <fgColor theme="5"/>
        <bgColor rgb="FF1976D2"/>
      </patternFill>
    </fill>
    <fill>
      <patternFill patternType="solid">
        <fgColor rgb="FF0070C0"/>
        <bgColor rgb="FF196B2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rgb="FFF5F5F5"/>
      </patternFill>
    </fill>
    <fill>
      <patternFill patternType="solid">
        <fgColor theme="6" tint="-0.499984740745262"/>
        <bgColor rgb="FF196B2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166" fontId="13" fillId="0" borderId="0"/>
  </cellStyleXfs>
  <cellXfs count="118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3" fontId="4" fillId="6" borderId="2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4" fontId="6" fillId="7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4" fontId="6" fillId="8" borderId="2" xfId="0" applyNumberFormat="1" applyFont="1" applyFill="1" applyBorder="1" applyAlignment="1">
      <alignment horizontal="center" vertical="center"/>
    </xf>
    <xf numFmtId="164" fontId="6" fillId="8" borderId="2" xfId="0" applyNumberFormat="1" applyFont="1" applyFill="1" applyBorder="1" applyAlignment="1">
      <alignment horizontal="center" vertical="center"/>
    </xf>
    <xf numFmtId="4" fontId="4" fillId="6" borderId="2" xfId="0" applyNumberFormat="1" applyFont="1" applyFill="1" applyBorder="1" applyAlignment="1">
      <alignment horizontal="center" vertical="center"/>
    </xf>
    <xf numFmtId="4" fontId="0" fillId="7" borderId="2" xfId="0" applyNumberForma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4" fontId="7" fillId="9" borderId="2" xfId="0" applyNumberFormat="1" applyFont="1" applyFill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center" vertical="center"/>
    </xf>
    <xf numFmtId="3" fontId="6" fillId="7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  <xf numFmtId="4" fontId="11" fillId="8" borderId="2" xfId="0" applyNumberFormat="1" applyFont="1" applyFill="1" applyBorder="1" applyAlignment="1">
      <alignment horizontal="center" vertical="center"/>
    </xf>
    <xf numFmtId="164" fontId="11" fillId="8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4" fontId="11" fillId="7" borderId="2" xfId="0" applyNumberFormat="1" applyFont="1" applyFill="1" applyBorder="1" applyAlignment="1">
      <alignment horizontal="center" vertical="center"/>
    </xf>
    <xf numFmtId="164" fontId="11" fillId="7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4" fontId="2" fillId="5" borderId="2" xfId="0" applyNumberFormat="1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4" fontId="9" fillId="5" borderId="3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4" fontId="9" fillId="5" borderId="4" xfId="0" applyNumberFormat="1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4" fontId="14" fillId="12" borderId="6" xfId="0" applyNumberFormat="1" applyFont="1" applyFill="1" applyBorder="1" applyAlignment="1">
      <alignment horizontal="center" vertical="center"/>
    </xf>
    <xf numFmtId="1" fontId="15" fillId="12" borderId="2" xfId="0" applyNumberFormat="1" applyFont="1" applyFill="1" applyBorder="1" applyAlignment="1">
      <alignment horizontal="center" vertical="center"/>
    </xf>
    <xf numFmtId="165" fontId="14" fillId="12" borderId="2" xfId="0" applyNumberFormat="1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4" fontId="14" fillId="12" borderId="2" xfId="0" applyNumberFormat="1" applyFont="1" applyFill="1" applyBorder="1" applyAlignment="1">
      <alignment horizontal="center" vertical="center"/>
    </xf>
    <xf numFmtId="3" fontId="14" fillId="12" borderId="2" xfId="0" applyNumberFormat="1" applyFont="1" applyFill="1" applyBorder="1" applyAlignment="1">
      <alignment horizontal="center" vertical="center"/>
    </xf>
    <xf numFmtId="4" fontId="14" fillId="12" borderId="1" xfId="0" applyNumberFormat="1" applyFont="1" applyFill="1" applyBorder="1" applyAlignment="1">
      <alignment horizontal="center" vertical="center"/>
    </xf>
    <xf numFmtId="0" fontId="16" fillId="13" borderId="7" xfId="0" applyFont="1" applyFill="1" applyBorder="1" applyAlignment="1">
      <alignment horizontal="center" vertical="center"/>
    </xf>
    <xf numFmtId="0" fontId="16" fillId="13" borderId="8" xfId="0" applyFont="1" applyFill="1" applyBorder="1" applyAlignment="1">
      <alignment horizontal="center" vertical="center"/>
    </xf>
    <xf numFmtId="165" fontId="16" fillId="13" borderId="8" xfId="0" applyNumberFormat="1" applyFont="1" applyFill="1" applyBorder="1" applyAlignment="1">
      <alignment horizontal="center" vertical="center"/>
    </xf>
    <xf numFmtId="3" fontId="16" fillId="13" borderId="8" xfId="0" applyNumberFormat="1" applyFont="1" applyFill="1" applyBorder="1" applyAlignment="1">
      <alignment horizontal="center" vertical="center"/>
    </xf>
    <xf numFmtId="4" fontId="16" fillId="13" borderId="8" xfId="0" applyNumberFormat="1" applyFont="1" applyFill="1" applyBorder="1" applyAlignment="1">
      <alignment horizontal="center" vertical="center"/>
    </xf>
    <xf numFmtId="4" fontId="16" fillId="13" borderId="9" xfId="0" applyNumberFormat="1" applyFont="1" applyFill="1" applyBorder="1" applyAlignment="1">
      <alignment horizontal="center" vertical="center"/>
    </xf>
    <xf numFmtId="165" fontId="9" fillId="5" borderId="3" xfId="0" applyNumberFormat="1" applyFont="1" applyFill="1" applyBorder="1" applyAlignment="1">
      <alignment horizontal="center" vertical="center"/>
    </xf>
    <xf numFmtId="0" fontId="0" fillId="0" borderId="2" xfId="0" applyFont="1" applyBorder="1"/>
    <xf numFmtId="167" fontId="19" fillId="0" borderId="2" xfId="1" applyNumberFormat="1" applyFont="1" applyBorder="1"/>
    <xf numFmtId="167" fontId="20" fillId="0" borderId="2" xfId="1" applyNumberFormat="1" applyFont="1" applyBorder="1"/>
    <xf numFmtId="0" fontId="21" fillId="14" borderId="2" xfId="0" applyFont="1" applyFill="1" applyBorder="1"/>
    <xf numFmtId="167" fontId="21" fillId="14" borderId="2" xfId="0" applyNumberFormat="1" applyFont="1" applyFill="1" applyBorder="1"/>
    <xf numFmtId="167" fontId="0" fillId="0" borderId="2" xfId="1" applyNumberFormat="1" applyFont="1" applyBorder="1"/>
    <xf numFmtId="0" fontId="22" fillId="13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left" vertical="center"/>
    </xf>
    <xf numFmtId="3" fontId="23" fillId="15" borderId="2" xfId="0" applyNumberFormat="1" applyFont="1" applyFill="1" applyBorder="1" applyAlignment="1">
      <alignment horizontal="center" vertical="center"/>
    </xf>
    <xf numFmtId="4" fontId="23" fillId="15" borderId="2" xfId="0" applyNumberFormat="1" applyFont="1" applyFill="1" applyBorder="1" applyAlignment="1">
      <alignment horizontal="center" vertical="center"/>
    </xf>
    <xf numFmtId="164" fontId="24" fillId="6" borderId="2" xfId="0" applyNumberFormat="1" applyFont="1" applyFill="1" applyBorder="1" applyAlignment="1">
      <alignment horizontal="center" vertical="center"/>
    </xf>
    <xf numFmtId="0" fontId="25" fillId="15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left" vertical="center"/>
    </xf>
    <xf numFmtId="164" fontId="24" fillId="15" borderId="2" xfId="0" applyNumberFormat="1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3" fontId="26" fillId="5" borderId="2" xfId="0" applyNumberFormat="1" applyFont="1" applyFill="1" applyBorder="1" applyAlignment="1">
      <alignment horizontal="center" vertical="center"/>
    </xf>
    <xf numFmtId="4" fontId="26" fillId="5" borderId="2" xfId="0" applyNumberFormat="1" applyFont="1" applyFill="1" applyBorder="1" applyAlignment="1">
      <alignment horizontal="center" vertical="center"/>
    </xf>
    <xf numFmtId="164" fontId="26" fillId="5" borderId="2" xfId="0" applyNumberFormat="1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4" fontId="11" fillId="10" borderId="2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64" fontId="26" fillId="17" borderId="2" xfId="0" applyNumberFormat="1" applyFont="1" applyFill="1" applyBorder="1" applyAlignment="1">
      <alignment horizontal="center" vertical="center"/>
    </xf>
    <xf numFmtId="4" fontId="14" fillId="12" borderId="7" xfId="0" applyNumberFormat="1" applyFont="1" applyFill="1" applyBorder="1" applyAlignment="1">
      <alignment horizontal="center" vertical="center"/>
    </xf>
    <xf numFmtId="1" fontId="15" fillId="12" borderId="8" xfId="0" applyNumberFormat="1" applyFont="1" applyFill="1" applyBorder="1" applyAlignment="1">
      <alignment horizontal="center" vertical="center"/>
    </xf>
    <xf numFmtId="165" fontId="14" fillId="12" borderId="8" xfId="0" applyNumberFormat="1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4" fontId="14" fillId="12" borderId="8" xfId="0" applyNumberFormat="1" applyFont="1" applyFill="1" applyBorder="1" applyAlignment="1">
      <alignment horizontal="center" vertical="center"/>
    </xf>
    <xf numFmtId="3" fontId="14" fillId="12" borderId="8" xfId="0" applyNumberFormat="1" applyFont="1" applyFill="1" applyBorder="1" applyAlignment="1">
      <alignment horizontal="center" vertical="center"/>
    </xf>
    <xf numFmtId="4" fontId="14" fillId="12" borderId="9" xfId="0" applyNumberFormat="1" applyFont="1" applyFill="1" applyBorder="1" applyAlignment="1">
      <alignment horizontal="center" vertical="center"/>
    </xf>
    <xf numFmtId="4" fontId="0" fillId="7" borderId="2" xfId="0" applyNumberFormat="1" applyFont="1" applyFill="1" applyBorder="1" applyAlignment="1">
      <alignment horizontal="center" vertical="center"/>
    </xf>
    <xf numFmtId="4" fontId="0" fillId="8" borderId="2" xfId="0" applyNumberFormat="1" applyFont="1" applyFill="1" applyBorder="1" applyAlignment="1">
      <alignment horizontal="center" vertical="center"/>
    </xf>
    <xf numFmtId="3" fontId="0" fillId="7" borderId="2" xfId="0" applyNumberFormat="1" applyFont="1" applyFill="1" applyBorder="1" applyAlignment="1">
      <alignment horizontal="center" vertical="center"/>
    </xf>
    <xf numFmtId="4" fontId="0" fillId="6" borderId="2" xfId="0" applyNumberFormat="1" applyFont="1" applyFill="1" applyBorder="1" applyAlignment="1">
      <alignment horizontal="center" vertical="center"/>
    </xf>
    <xf numFmtId="3" fontId="0" fillId="6" borderId="2" xfId="0" applyNumberFormat="1" applyFont="1" applyFill="1" applyBorder="1" applyAlignment="1">
      <alignment horizontal="center" vertical="center"/>
    </xf>
    <xf numFmtId="0" fontId="16" fillId="13" borderId="12" xfId="0" applyFont="1" applyFill="1" applyBorder="1" applyAlignment="1">
      <alignment horizontal="center" vertical="center"/>
    </xf>
    <xf numFmtId="0" fontId="16" fillId="13" borderId="13" xfId="0" applyFont="1" applyFill="1" applyBorder="1" applyAlignment="1">
      <alignment horizontal="center" vertical="center"/>
    </xf>
    <xf numFmtId="0" fontId="29" fillId="12" borderId="8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1" fontId="30" fillId="0" borderId="2" xfId="0" applyNumberFormat="1" applyFont="1" applyFill="1" applyBorder="1" applyAlignment="1">
      <alignment horizontal="center" vertical="center"/>
    </xf>
    <xf numFmtId="165" fontId="30" fillId="0" borderId="2" xfId="0" applyNumberFormat="1" applyFont="1" applyFill="1" applyBorder="1" applyAlignment="1">
      <alignment horizontal="center" vertical="center"/>
    </xf>
    <xf numFmtId="168" fontId="31" fillId="0" borderId="2" xfId="1" applyNumberFormat="1" applyFont="1" applyBorder="1"/>
    <xf numFmtId="168" fontId="33" fillId="18" borderId="13" xfId="0" applyNumberFormat="1" applyFont="1" applyFill="1" applyBorder="1" applyAlignment="1" applyProtection="1"/>
    <xf numFmtId="0" fontId="29" fillId="12" borderId="2" xfId="0" applyFont="1" applyFill="1" applyBorder="1" applyAlignment="1">
      <alignment horizontal="center" vertical="center"/>
    </xf>
    <xf numFmtId="4" fontId="29" fillId="12" borderId="7" xfId="0" applyNumberFormat="1" applyFont="1" applyFill="1" applyBorder="1" applyAlignment="1">
      <alignment horizontal="center" vertical="center"/>
    </xf>
    <xf numFmtId="168" fontId="31" fillId="0" borderId="2" xfId="1" applyNumberFormat="1" applyFont="1" applyFill="1" applyBorder="1" applyAlignment="1">
      <alignment horizontal="center"/>
    </xf>
    <xf numFmtId="168" fontId="31" fillId="0" borderId="2" xfId="1" applyNumberFormat="1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165" fontId="14" fillId="21" borderId="8" xfId="0" applyNumberFormat="1" applyFont="1" applyFill="1" applyBorder="1" applyAlignment="1">
      <alignment horizontal="center" vertical="center"/>
    </xf>
    <xf numFmtId="3" fontId="29" fillId="12" borderId="8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27" fillId="19" borderId="10" xfId="0" applyFont="1" applyFill="1" applyBorder="1" applyAlignment="1">
      <alignment horizontal="center"/>
    </xf>
    <xf numFmtId="0" fontId="27" fillId="19" borderId="11" xfId="0" applyFont="1" applyFill="1" applyBorder="1" applyAlignment="1">
      <alignment horizontal="center"/>
    </xf>
    <xf numFmtId="0" fontId="27" fillId="18" borderId="10" xfId="0" applyFont="1" applyFill="1" applyBorder="1" applyAlignment="1">
      <alignment horizontal="center"/>
    </xf>
    <xf numFmtId="0" fontId="27" fillId="18" borderId="11" xfId="0" applyFont="1" applyFill="1" applyBorder="1" applyAlignment="1">
      <alignment horizontal="center"/>
    </xf>
    <xf numFmtId="0" fontId="27" fillId="20" borderId="10" xfId="0" applyFont="1" applyFill="1" applyBorder="1" applyAlignment="1">
      <alignment horizontal="center"/>
    </xf>
    <xf numFmtId="0" fontId="27" fillId="20" borderId="11" xfId="0" applyFont="1" applyFill="1" applyBorder="1" applyAlignment="1">
      <alignment horizontal="center"/>
    </xf>
    <xf numFmtId="4" fontId="9" fillId="22" borderId="4" xfId="0" applyNumberFormat="1" applyFont="1" applyFill="1" applyBorder="1" applyAlignment="1">
      <alignment horizontal="center" vertical="center"/>
    </xf>
    <xf numFmtId="0" fontId="9" fillId="22" borderId="5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numFmt numFmtId="4" formatCode="#,##0.0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numFmt numFmtId="4" formatCode="#,##0.0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numFmt numFmtId="4" formatCode="#,##0.0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numFmt numFmtId="4" formatCode="#,##0.0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numFmt numFmtId="4" formatCode="#,##0.0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numFmt numFmtId="4" formatCode="#,##0.0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numFmt numFmtId="3" formatCode="#,##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numFmt numFmtId="3" formatCode="#,##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numFmt numFmtId="165" formatCode="mmmm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charset val="1"/>
        <scheme val="none"/>
      </font>
      <numFmt numFmtId="3" formatCode="#,##0"/>
      <fill>
        <patternFill patternType="solid">
          <fgColor rgb="FFF5F5F5"/>
          <bgColor rgb="FFFFF9C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/>
        <color rgb="FFFF0000"/>
      </font>
    </dxf>
    <dxf>
      <font>
        <b/>
        <color rgb="FF00B050"/>
      </font>
    </dxf>
    <dxf>
      <font>
        <b/>
        <color rgb="FF00B050"/>
      </font>
    </dxf>
    <dxf>
      <font>
        <b/>
        <color rgb="FFFF0000"/>
      </font>
    </dxf>
    <dxf>
      <font>
        <b/>
        <color rgb="FF00B050"/>
      </font>
    </dxf>
    <dxf>
      <font>
        <b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color rgb="FF196B24"/>
      </font>
    </dxf>
    <dxf>
      <font>
        <b/>
        <color rgb="FFFF0000"/>
      </font>
    </dxf>
    <dxf>
      <font>
        <b/>
        <color rgb="FF196B24"/>
      </font>
    </dxf>
    <dxf>
      <font>
        <b/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168" formatCode="_-[$R$-416]\ * #,##0.00_-;\-[$R$-416]\ * #,##0.00_-;_-[$R$-416]\ * &quot;-&quot;??_-;_-@_-"/>
      <fill>
        <patternFill patternType="solid">
          <fgColor indexed="64"/>
          <bgColor theme="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medium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/>
        <top/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8" formatCode="_-[$R$-416]\ * #,##0.00_-;\-[$R$-416]\ * #,##0.00_-;_-[$R$-416]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0695C"/>
      <rgbColor rgb="FFC8E6C9"/>
      <rgbColor rgb="FF8B8B8B"/>
      <rgbColor rgb="FF9999FF"/>
      <rgbColor rgb="FFC04F15"/>
      <rgbColor rgb="FFFFF9C4"/>
      <rgbColor rgb="FFE3F2FD"/>
      <rgbColor rgb="FF4A148C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F2F2F2"/>
      <rgbColor rgb="FFC2F1C8"/>
      <rgbColor rgb="FFF5F5F5"/>
      <rgbColor rgb="FF99CCFF"/>
      <rgbColor rgb="FFFF99CC"/>
      <rgbColor rgb="FFCC99FF"/>
      <rgbColor rgb="FFFFCDD2"/>
      <rgbColor rgb="FF1976D2"/>
      <rgbColor rgb="FF00B050"/>
      <rgbColor rgb="FF99CC00"/>
      <rgbColor rgb="FFFFC107"/>
      <rgbColor rgb="FFFF9900"/>
      <rgbColor rgb="FFE97132"/>
      <rgbColor rgb="FF666699"/>
      <rgbColor rgb="FF969696"/>
      <rgbColor rgb="FF003366"/>
      <rgbColor rgb="FF2E7D32"/>
      <rgbColor rgb="FF003300"/>
      <rgbColor rgb="FF1E4620"/>
      <rgbColor rgb="FFC62828"/>
      <rgbColor rgb="FF993366"/>
      <rgbColor rgb="FF33339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Aptos Narrow"/>
              </a:rPr>
              <a:t>Lucro Líq. Operacional: 2025 vs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 ANUAL'!$B$17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'COMPARATIVO ANUAL'!$A$18:$A$29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'COMPARATIVO ANUAL'!$B$18:$B$29</c:f>
              <c:numCache>
                <c:formatCode>#,##0.00</c:formatCode>
                <c:ptCount val="12"/>
                <c:pt idx="0">
                  <c:v>106231.70000000001</c:v>
                </c:pt>
                <c:pt idx="1">
                  <c:v>716883.39999999991</c:v>
                </c:pt>
                <c:pt idx="2">
                  <c:v>1154496.8399999999</c:v>
                </c:pt>
                <c:pt idx="3">
                  <c:v>499270.09</c:v>
                </c:pt>
                <c:pt idx="4">
                  <c:v>520095.42</c:v>
                </c:pt>
                <c:pt idx="5">
                  <c:v>60153.780000000006</c:v>
                </c:pt>
                <c:pt idx="6">
                  <c:v>93877.56</c:v>
                </c:pt>
                <c:pt idx="7">
                  <c:v>357771.60000000009</c:v>
                </c:pt>
                <c:pt idx="8">
                  <c:v>207587.74</c:v>
                </c:pt>
                <c:pt idx="9">
                  <c:v>233803.58000000002</c:v>
                </c:pt>
                <c:pt idx="10">
                  <c:v>165851.95000000001</c:v>
                </c:pt>
                <c:pt idx="11">
                  <c:v>84051.78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D-4EFC-A587-2965B31AEF0D}"/>
            </c:ext>
          </c:extLst>
        </c:ser>
        <c:ser>
          <c:idx val="1"/>
          <c:order val="1"/>
          <c:tx>
            <c:strRef>
              <c:f>'COMPARATIVO ANUAL'!$C$17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E9713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'COMPARATIVO ANUAL'!$A$18:$A$29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'COMPARATIVO ANUAL'!$C$18:$C$29</c:f>
              <c:numCache>
                <c:formatCode>#,##0.00</c:formatCode>
                <c:ptCount val="12"/>
                <c:pt idx="0">
                  <c:v>259819.54</c:v>
                </c:pt>
                <c:pt idx="1">
                  <c:v>566766.60000000021</c:v>
                </c:pt>
                <c:pt idx="2">
                  <c:v>448539.01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4D-4EFC-A587-2965B31AE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188732"/>
        <c:axId val="16204327"/>
      </c:barChart>
      <c:catAx>
        <c:axId val="271887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16204327"/>
        <c:crosses val="autoZero"/>
        <c:auto val="1"/>
        <c:lblAlgn val="ctr"/>
        <c:lblOffset val="100"/>
        <c:noMultiLvlLbl val="0"/>
      </c:catAx>
      <c:valAx>
        <c:axId val="16204327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271887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0</xdr:row>
      <xdr:rowOff>47625</xdr:rowOff>
    </xdr:from>
    <xdr:to>
      <xdr:col>14</xdr:col>
      <xdr:colOff>549825</xdr:colOff>
      <xdr:row>30</xdr:row>
      <xdr:rowOff>2145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BD_LUCRO" displayName="BD_LUCRO" ref="A1:P203" totalsRowCount="1">
  <autoFilter ref="A1:P202" xr:uid="{00000000-0009-0000-0100-000002000000}"/>
  <tableColumns count="16">
    <tableColumn id="1" xr3:uid="{00000000-0010-0000-0000-000001000000}" name="Empresa" totalsRowLabel="Total" totalsRowDxfId="15"/>
    <tableColumn id="2" xr3:uid="{00000000-0010-0000-0000-000002000000}" name="Ano" totalsRowDxfId="14"/>
    <tableColumn id="3" xr3:uid="{00000000-0010-0000-0000-000003000000}" name="Mês" totalsRowDxfId="13"/>
    <tableColumn id="4" xr3:uid="{00000000-0010-0000-0000-000004000000}" name="Contrato V" totalsRowDxfId="12"/>
    <tableColumn id="5" xr3:uid="{00000000-0010-0000-0000-000005000000}" name="Contrato C" totalsRowDxfId="11"/>
    <tableColumn id="6" xr3:uid="{00000000-0010-0000-0000-000006000000}" name="Fornecedor" totalsRowDxfId="10"/>
    <tableColumn id="7" xr3:uid="{00000000-0010-0000-0000-000007000000}" name="Cliente" totalsRowDxfId="9"/>
    <tableColumn id="8" xr3:uid="{00000000-0010-0000-0000-000008000000}" name="Produto" totalsRowDxfId="8"/>
    <tableColumn id="9" xr3:uid="{00000000-0010-0000-0000-000009000000}" name="Peso Kg" totalsRowFunction="sum" dataDxfId="17" totalsRowDxfId="7"/>
    <tableColumn id="10" xr3:uid="{00000000-0010-0000-0000-00000A000000}" name="Sacas/Ton" totalsRowFunction="sum" dataDxfId="16" totalsRowDxfId="6">
      <calculatedColumnFormula>I2/60</calculatedColumnFormula>
    </tableColumn>
    <tableColumn id="11" xr3:uid="{00000000-0010-0000-0000-00000B000000}" name="Lucro Bruto" totalsRowFunction="sum" totalsRowDxfId="5"/>
    <tableColumn id="12" xr3:uid="{00000000-0010-0000-0000-00000C000000}" name="Total Frete" totalsRowFunction="sum" totalsRowDxfId="4"/>
    <tableColumn id="13" xr3:uid="{00000000-0010-0000-0000-00000D000000}" name="Impostos" totalsRowFunction="sum" totalsRowDxfId="3"/>
    <tableColumn id="14" xr3:uid="{00000000-0010-0000-0000-00000E000000}" name="Comissão" totalsRowFunction="sum" totalsRowDxfId="2"/>
    <tableColumn id="15" xr3:uid="{00000000-0010-0000-0000-00000F000000}" name="Lucro Líq." totalsRowFunction="sum" totalsRowDxfId="1"/>
    <tableColumn id="16" xr3:uid="{00000000-0010-0000-0000-000010000000}" name="Lucro Sc/Tn" totalsRowFunction="sum" totalsRowDxfId="0">
      <calculatedColumnFormula>BD_LUCRO[[#This Row],[Lucro Líq.]]/BD_LUCRO[[#This Row],[Sacas/Ton]]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BD_DESP" displayName="BD_DESP" ref="A1:E664" totalsRowCount="1" dataDxfId="40">
  <autoFilter ref="A1:E663" xr:uid="{00000000-0009-0000-0100-000001000000}"/>
  <tableColumns count="5">
    <tableColumn id="1" xr3:uid="{00000000-0010-0000-0100-000001000000}" name="Empresa" totalsRowLabel="Total" dataDxfId="39" totalsRowDxfId="34"/>
    <tableColumn id="2" xr3:uid="{00000000-0010-0000-0100-000002000000}" name="Ano" dataDxfId="38" totalsRowDxfId="33"/>
    <tableColumn id="3" xr3:uid="{00000000-0010-0000-0100-000003000000}" name="Mês" dataDxfId="37" totalsRowDxfId="32"/>
    <tableColumn id="4" xr3:uid="{00000000-0010-0000-0100-000004000000}" name="Item" dataDxfId="36" totalsRowDxfId="31"/>
    <tableColumn id="5" xr3:uid="{00000000-0010-0000-0100-000005000000}" name="Valor" totalsRowFunction="sum" dataDxfId="35" totalsRowDxfId="30" dataCellStyle="Moe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28.7109375" bestFit="1" customWidth="1"/>
    <col min="2" max="2" width="13.7109375" bestFit="1" customWidth="1"/>
    <col min="3" max="3" width="11.7109375" bestFit="1" customWidth="1"/>
    <col min="4" max="4" width="13.28515625" bestFit="1" customWidth="1"/>
    <col min="5" max="5" width="12.28515625" bestFit="1" customWidth="1"/>
    <col min="6" max="7" width="11.7109375" bestFit="1" customWidth="1"/>
    <col min="8" max="8" width="12" bestFit="1" customWidth="1"/>
    <col min="9" max="9" width="11" bestFit="1" customWidth="1"/>
  </cols>
  <sheetData>
    <row r="1" spans="1:5" ht="16.5" x14ac:dyDescent="0.25">
      <c r="A1" s="103" t="s">
        <v>0</v>
      </c>
      <c r="B1" s="103"/>
      <c r="C1" s="103"/>
      <c r="D1" s="103"/>
      <c r="E1" s="103"/>
    </row>
    <row r="2" spans="1:5" x14ac:dyDescent="0.25">
      <c r="A2" s="1" t="s">
        <v>1</v>
      </c>
      <c r="B2" s="2">
        <v>2025</v>
      </c>
      <c r="C2" s="3">
        <v>2026</v>
      </c>
      <c r="D2" s="1" t="s">
        <v>2</v>
      </c>
      <c r="E2" s="1" t="s">
        <v>3</v>
      </c>
    </row>
    <row r="3" spans="1:5" x14ac:dyDescent="0.25">
      <c r="A3" s="4" t="s">
        <v>4</v>
      </c>
      <c r="B3" s="87">
        <f>SUMIF(BD_LUCRO!B2:B202,2025,BD_LUCRO!K2:K202)</f>
        <v>6965952.6699999999</v>
      </c>
      <c r="C3" s="87">
        <f>SUMIF(BD_LUCRO!B2:B202,2026,BD_LUCRO!K2:K202)</f>
        <v>1775078.2299999995</v>
      </c>
      <c r="D3" s="5">
        <f t="shared" ref="D3:D9" si="0">C3-B3</f>
        <v>-5190874.4400000004</v>
      </c>
      <c r="E3" s="6">
        <f t="shared" ref="E3:E9" si="1">IF(B3&lt;&gt;0,(C3-B3)/ABS(B3),0)</f>
        <v>-0.74517796572970407</v>
      </c>
    </row>
    <row r="4" spans="1:5" x14ac:dyDescent="0.25">
      <c r="A4" s="7" t="s">
        <v>5</v>
      </c>
      <c r="B4" s="83">
        <f>-SUMIF(BD_LUCRO!B2:B202,2025,BD_LUCRO!L2:L202)</f>
        <v>-3259171.7999999993</v>
      </c>
      <c r="C4" s="83">
        <f>-SUMIF(BD_LUCRO!B2:B202,2026,BD_LUCRO!L2:L202)</f>
        <v>-158677</v>
      </c>
      <c r="D4" s="8">
        <f t="shared" si="0"/>
        <v>3100494.7999999993</v>
      </c>
      <c r="E4" s="9">
        <f t="shared" si="1"/>
        <v>0.95131370491116796</v>
      </c>
    </row>
    <row r="5" spans="1:5" x14ac:dyDescent="0.25">
      <c r="A5" s="10" t="s">
        <v>6</v>
      </c>
      <c r="B5" s="84">
        <f>-SUMIF(BD_LUCRO!B2:B202,2025,BD_LUCRO!M2:M202)</f>
        <v>-7281.9699999999793</v>
      </c>
      <c r="C5" s="84">
        <f>-SUMIF(BD_LUCRO!B2:B202,2026,BD_LUCRO!M2:M202)</f>
        <v>-60833.59</v>
      </c>
      <c r="D5" s="11">
        <f t="shared" si="0"/>
        <v>-53551.620000000017</v>
      </c>
      <c r="E5" s="12">
        <f t="shared" si="1"/>
        <v>-7.3540017330475367</v>
      </c>
    </row>
    <row r="6" spans="1:5" x14ac:dyDescent="0.25">
      <c r="A6" s="7" t="s">
        <v>7</v>
      </c>
      <c r="B6" s="83">
        <f>-SUMIF(BD_LUCRO!B2:B202,2025,BD_LUCRO!N2:N202)</f>
        <v>-1826139.8399999999</v>
      </c>
      <c r="C6" s="83">
        <f>-SUMIF(BD_LUCRO!B2:B202,2026,BD_LUCRO!N2:N202)</f>
        <v>-154927.63999999998</v>
      </c>
      <c r="D6" s="8">
        <f t="shared" si="0"/>
        <v>1671212.2</v>
      </c>
      <c r="E6" s="9">
        <f t="shared" si="1"/>
        <v>0.91516113026700086</v>
      </c>
    </row>
    <row r="7" spans="1:5" x14ac:dyDescent="0.25">
      <c r="A7" s="4" t="s">
        <v>8</v>
      </c>
      <c r="B7" s="86">
        <f>SUMIF(BD_LUCRO!B2:B202,2025,BD_LUCRO!O2:O202)</f>
        <v>4200075.4399999995</v>
      </c>
      <c r="C7" s="86">
        <f>SUMIF(BD_LUCRO!B2:B202,2026,BD_LUCRO!O2:O202)</f>
        <v>1275125.1500000004</v>
      </c>
      <c r="D7" s="13">
        <f t="shared" si="0"/>
        <v>-2924950.2899999991</v>
      </c>
      <c r="E7" s="6">
        <f t="shared" si="1"/>
        <v>-0.69640422696788495</v>
      </c>
    </row>
    <row r="8" spans="1:5" x14ac:dyDescent="0.25">
      <c r="A8" s="7" t="s">
        <v>9</v>
      </c>
      <c r="B8" s="14">
        <f>-SUMIF(BD_DESP!B2:B663,2025,BD_DESP!E2:E663)</f>
        <v>-3677506.7399999998</v>
      </c>
      <c r="C8" s="14">
        <f>-SUMIF(BD_DESP!B2:B663,2026,BD_DESP!E2:E663)</f>
        <v>-726854.62</v>
      </c>
      <c r="D8" s="8">
        <f t="shared" si="0"/>
        <v>2950652.1199999996</v>
      </c>
      <c r="E8" s="9">
        <f t="shared" si="1"/>
        <v>0.80235124735624541</v>
      </c>
    </row>
    <row r="9" spans="1:5" x14ac:dyDescent="0.25">
      <c r="A9" s="15" t="s">
        <v>10</v>
      </c>
      <c r="B9" s="16">
        <f>B7+B8</f>
        <v>522568.69999999972</v>
      </c>
      <c r="C9" s="16">
        <f>C7+C8</f>
        <v>548270.53000000038</v>
      </c>
      <c r="D9" s="16">
        <f t="shared" si="0"/>
        <v>25701.830000000657</v>
      </c>
      <c r="E9" s="17">
        <f t="shared" si="1"/>
        <v>4.918363843835398E-2</v>
      </c>
    </row>
    <row r="11" spans="1:5" x14ac:dyDescent="0.25">
      <c r="A11" s="10" t="s">
        <v>11</v>
      </c>
      <c r="B11" s="84">
        <f>SUMIF(BD_LUCRO!B2:B202,2025,BD_LUCRO!I2:I202)</f>
        <v>25716499</v>
      </c>
      <c r="C11" s="84">
        <f>SUMIF(BD_LUCRO!B2:B202,2026,BD_LUCRO!I2:I202)</f>
        <v>8652682</v>
      </c>
      <c r="D11" s="11">
        <f>C11-B11</f>
        <v>-17063817</v>
      </c>
      <c r="E11" s="12">
        <f>IF(B11&lt;&gt;0,(C11-B11)/ABS(B11),0)</f>
        <v>-0.66353577133497055</v>
      </c>
    </row>
    <row r="12" spans="1:5" x14ac:dyDescent="0.25">
      <c r="A12" s="7" t="s">
        <v>12</v>
      </c>
      <c r="B12" s="85">
        <f>COUNTIF(BD_LUCRO!B2:B202,2025)</f>
        <v>124</v>
      </c>
      <c r="C12" s="85">
        <f>COUNTIF(BD_LUCRO!B2:B202,2026)</f>
        <v>77</v>
      </c>
      <c r="D12" s="18">
        <f>C12-B12</f>
        <v>-47</v>
      </c>
      <c r="E12" s="9">
        <f>IF(B12&lt;&gt;0,(C12-B12)/ABS(B12),0)</f>
        <v>-0.37903225806451613</v>
      </c>
    </row>
    <row r="13" spans="1:5" x14ac:dyDescent="0.25">
      <c r="A13" s="10" t="s">
        <v>13</v>
      </c>
      <c r="B13" s="12">
        <f>IF(B3&lt;&gt;0,(B3+B4+B5+B6)/B3,0)</f>
        <v>0.26893077641309909</v>
      </c>
      <c r="C13" s="12">
        <f>IF(C3&lt;&gt;0,(C3+C4+C5+C6)/C3,0)</f>
        <v>0.78905818139632067</v>
      </c>
      <c r="D13" s="12">
        <f>C13-B13</f>
        <v>0.52012740498322163</v>
      </c>
      <c r="E13" s="12">
        <f>IF(B13&lt;&gt;0,(C13-B13)/ABS(B13),0)</f>
        <v>1.9340568302389627</v>
      </c>
    </row>
    <row r="14" spans="1:5" x14ac:dyDescent="0.25">
      <c r="A14" s="7" t="s">
        <v>14</v>
      </c>
      <c r="B14" s="9">
        <f>IF(B3&lt;&gt;0,B9/B3,0)</f>
        <v>7.5017549609621412E-2</v>
      </c>
      <c r="C14" s="9">
        <f>IF(C3&lt;&gt;0,C9/C3,0)</f>
        <v>0.30887119267977309</v>
      </c>
      <c r="D14" s="9">
        <f>C14-B14</f>
        <v>0.23385364307015166</v>
      </c>
      <c r="E14" s="9">
        <f>IF(B14&lt;&gt;0,(C14-B14)/ABS(B14),0)</f>
        <v>3.117319137816235</v>
      </c>
    </row>
    <row r="16" spans="1:5" x14ac:dyDescent="0.25">
      <c r="A16" s="104" t="s">
        <v>15</v>
      </c>
      <c r="B16" s="104"/>
      <c r="C16" s="104"/>
      <c r="D16" s="104"/>
      <c r="E16" s="104"/>
    </row>
    <row r="17" spans="1:5" x14ac:dyDescent="0.25">
      <c r="A17" s="19" t="s">
        <v>16</v>
      </c>
      <c r="B17" s="20">
        <v>2025</v>
      </c>
      <c r="C17" s="21">
        <v>2026</v>
      </c>
      <c r="D17" s="19" t="s">
        <v>17</v>
      </c>
      <c r="E17" s="19" t="s">
        <v>18</v>
      </c>
    </row>
    <row r="18" spans="1:5" x14ac:dyDescent="0.25">
      <c r="A18" s="22" t="s">
        <v>19</v>
      </c>
      <c r="B18" s="84">
        <f>SUMPRODUCT((BD_LUCRO!B2:B202=2025)*(MONTH(BD_LUCRO!C2:C202)=1)*IF(ISNUMBER(BD_LUCRO!O2:O202),BD_LUCRO!O2:O202,0))</f>
        <v>106231.70000000001</v>
      </c>
      <c r="C18" s="84">
        <f>SUMPRODUCT((BD_LUCRO!B2:B202=2026)*(MONTH(BD_LUCRO!C2:C202)=1)*IF(ISNUMBER(BD_LUCRO!O2:O202),BD_LUCRO!O2:O202,0))</f>
        <v>259819.54</v>
      </c>
      <c r="D18" s="23">
        <f t="shared" ref="D18:D29" si="2">C18-B18</f>
        <v>153587.84</v>
      </c>
      <c r="E18" s="24">
        <f t="shared" ref="E18:E30" si="3">IF(B18&lt;&gt;0,(C18-B18)/ABS(B18),0)</f>
        <v>1.4457816263883565</v>
      </c>
    </row>
    <row r="19" spans="1:5" x14ac:dyDescent="0.25">
      <c r="A19" s="25" t="s">
        <v>20</v>
      </c>
      <c r="B19" s="83">
        <f>SUMPRODUCT((BD_LUCRO!B2:B202=2025)*(MONTH(BD_LUCRO!C2:C202)=2)*IF(ISNUMBER(BD_LUCRO!O2:O202),BD_LUCRO!O2:O202,0))</f>
        <v>716883.39999999991</v>
      </c>
      <c r="C19" s="83">
        <f>SUMPRODUCT((BD_LUCRO!B2:B202=2026)*(MONTH(BD_LUCRO!C2:C202)=2)*IF(ISNUMBER(BD_LUCRO!O2:O202),BD_LUCRO!O2:O202,0))</f>
        <v>566766.60000000021</v>
      </c>
      <c r="D19" s="26">
        <f t="shared" si="2"/>
        <v>-150116.7999999997</v>
      </c>
      <c r="E19" s="27">
        <f t="shared" si="3"/>
        <v>-0.20940197527240792</v>
      </c>
    </row>
    <row r="20" spans="1:5" x14ac:dyDescent="0.25">
      <c r="A20" s="22" t="s">
        <v>21</v>
      </c>
      <c r="B20" s="84">
        <f>SUMPRODUCT((BD_LUCRO!B2:B202=2025)*(MONTH(BD_LUCRO!C2:C202)=3)*IF(ISNUMBER(BD_LUCRO!O2:O202),BD_LUCRO!O2:O202,0))</f>
        <v>1154496.8399999999</v>
      </c>
      <c r="C20" s="84">
        <f>SUMPRODUCT((BD_LUCRO!B2:B202=2026)*(MONTH(BD_LUCRO!C2:C202)=3)*IF(ISNUMBER(BD_LUCRO!O2:O202),BD_LUCRO!O2:O202,0))</f>
        <v>448539.01</v>
      </c>
      <c r="D20" s="23">
        <f t="shared" si="2"/>
        <v>-705957.82999999984</v>
      </c>
      <c r="E20" s="24">
        <f t="shared" si="3"/>
        <v>-0.61148528565916205</v>
      </c>
    </row>
    <row r="21" spans="1:5" x14ac:dyDescent="0.25">
      <c r="A21" s="25" t="s">
        <v>22</v>
      </c>
      <c r="B21" s="83">
        <f>SUMPRODUCT((BD_LUCRO!B2:B202=2025)*(MONTH(BD_LUCRO!C2:C202)=4)*IF(ISNUMBER(BD_LUCRO!O2:O202),BD_LUCRO!O2:O202,0))</f>
        <v>499270.09</v>
      </c>
      <c r="C21" s="83">
        <f>SUMPRODUCT((BD_LUCRO!B2:B202=2026)*(MONTH(BD_LUCRO!C2:C202)=4)*IF(ISNUMBER(BD_LUCRO!O2:O202),BD_LUCRO!O2:O202,0))</f>
        <v>0</v>
      </c>
      <c r="D21" s="26">
        <f t="shared" si="2"/>
        <v>-499270.09</v>
      </c>
      <c r="E21" s="27">
        <f t="shared" si="3"/>
        <v>-1</v>
      </c>
    </row>
    <row r="22" spans="1:5" x14ac:dyDescent="0.25">
      <c r="A22" s="22" t="s">
        <v>23</v>
      </c>
      <c r="B22" s="84">
        <f>SUMPRODUCT((BD_LUCRO!B2:B202=2025)*(MONTH(BD_LUCRO!C2:C202)=5)*IF(ISNUMBER(BD_LUCRO!O2:O202),BD_LUCRO!O2:O202,0))</f>
        <v>520095.42</v>
      </c>
      <c r="C22" s="84">
        <f>SUMPRODUCT((BD_LUCRO!B2:B202=2026)*(MONTH(BD_LUCRO!C2:C202)=5)*IF(ISNUMBER(BD_LUCRO!O2:O202),BD_LUCRO!O2:O202,0))</f>
        <v>0</v>
      </c>
      <c r="D22" s="23">
        <f t="shared" si="2"/>
        <v>-520095.42</v>
      </c>
      <c r="E22" s="24">
        <f t="shared" si="3"/>
        <v>-1</v>
      </c>
    </row>
    <row r="23" spans="1:5" x14ac:dyDescent="0.25">
      <c r="A23" s="25" t="s">
        <v>24</v>
      </c>
      <c r="B23" s="83">
        <f>SUMPRODUCT((BD_LUCRO!B2:B202=2025)*(MONTH(BD_LUCRO!C2:C202)=6)*IF(ISNUMBER(BD_LUCRO!O2:O202),BD_LUCRO!O2:O202,0))</f>
        <v>60153.780000000006</v>
      </c>
      <c r="C23" s="83">
        <f>SUMPRODUCT((BD_LUCRO!B2:B202=2026)*(MONTH(BD_LUCRO!C2:C202)=6)*IF(ISNUMBER(BD_LUCRO!O2:O202),BD_LUCRO!O2:O202,0))</f>
        <v>0</v>
      </c>
      <c r="D23" s="26">
        <f t="shared" si="2"/>
        <v>-60153.780000000006</v>
      </c>
      <c r="E23" s="27">
        <f t="shared" si="3"/>
        <v>-1</v>
      </c>
    </row>
    <row r="24" spans="1:5" x14ac:dyDescent="0.25">
      <c r="A24" s="22" t="s">
        <v>25</v>
      </c>
      <c r="B24" s="84">
        <f>SUMPRODUCT((BD_LUCRO!B2:B202=2025)*(MONTH(BD_LUCRO!C2:C202)=7)*IF(ISNUMBER(BD_LUCRO!O2:O202),BD_LUCRO!O2:O202,0))</f>
        <v>93877.56</v>
      </c>
      <c r="C24" s="84">
        <f>SUMPRODUCT((BD_LUCRO!B2:B202=2026)*(MONTH(BD_LUCRO!C2:C202)=7)*IF(ISNUMBER(BD_LUCRO!O2:O202),BD_LUCRO!O2:O202,0))</f>
        <v>0</v>
      </c>
      <c r="D24" s="23">
        <f t="shared" si="2"/>
        <v>-93877.56</v>
      </c>
      <c r="E24" s="24">
        <f t="shared" si="3"/>
        <v>-1</v>
      </c>
    </row>
    <row r="25" spans="1:5" x14ac:dyDescent="0.25">
      <c r="A25" s="25" t="s">
        <v>26</v>
      </c>
      <c r="B25" s="83">
        <f>SUMPRODUCT((BD_LUCRO!B2:B202=2025)*(MONTH(BD_LUCRO!C2:C202)=8)*IF(ISNUMBER(BD_LUCRO!O2:O202),BD_LUCRO!O2:O202,0))</f>
        <v>357771.60000000009</v>
      </c>
      <c r="C25" s="83">
        <f>SUMPRODUCT((BD_LUCRO!B2:B202=2026)*(MONTH(BD_LUCRO!C2:C202)=8)*IF(ISNUMBER(BD_LUCRO!O2:O202),BD_LUCRO!O2:O202,0))</f>
        <v>0</v>
      </c>
      <c r="D25" s="26">
        <f t="shared" si="2"/>
        <v>-357771.60000000009</v>
      </c>
      <c r="E25" s="27">
        <f t="shared" si="3"/>
        <v>-1</v>
      </c>
    </row>
    <row r="26" spans="1:5" x14ac:dyDescent="0.25">
      <c r="A26" s="22" t="s">
        <v>27</v>
      </c>
      <c r="B26" s="84">
        <f>SUMPRODUCT((BD_LUCRO!B2:B202=2025)*(MONTH(BD_LUCRO!C2:C202)=9)*IF(ISNUMBER(BD_LUCRO!O2:O202),BD_LUCRO!O2:O202,0))</f>
        <v>207587.74</v>
      </c>
      <c r="C26" s="84">
        <f>SUMPRODUCT((BD_LUCRO!B2:B202=2026)*(MONTH(BD_LUCRO!C2:C202)=9)*IF(ISNUMBER(BD_LUCRO!O2:O202),BD_LUCRO!O2:O202,0))</f>
        <v>0</v>
      </c>
      <c r="D26" s="23">
        <f t="shared" si="2"/>
        <v>-207587.74</v>
      </c>
      <c r="E26" s="24">
        <f t="shared" si="3"/>
        <v>-1</v>
      </c>
    </row>
    <row r="27" spans="1:5" x14ac:dyDescent="0.25">
      <c r="A27" s="25" t="s">
        <v>28</v>
      </c>
      <c r="B27" s="83">
        <f>SUMPRODUCT((BD_LUCRO!B2:B202=2025)*(MONTH(BD_LUCRO!C2:C202)=10)*IF(ISNUMBER(BD_LUCRO!O2:O202),BD_LUCRO!O2:O202,0))</f>
        <v>233803.58000000002</v>
      </c>
      <c r="C27" s="83">
        <f>SUMPRODUCT((BD_LUCRO!B2:B202=2026)*(MONTH(BD_LUCRO!C2:C202)=10)*IF(ISNUMBER(BD_LUCRO!O2:O202),BD_LUCRO!O2:O202,0))</f>
        <v>0</v>
      </c>
      <c r="D27" s="26">
        <f t="shared" si="2"/>
        <v>-233803.58000000002</v>
      </c>
      <c r="E27" s="27">
        <f t="shared" si="3"/>
        <v>-1</v>
      </c>
    </row>
    <row r="28" spans="1:5" x14ac:dyDescent="0.25">
      <c r="A28" s="22" t="s">
        <v>29</v>
      </c>
      <c r="B28" s="84">
        <f>SUMPRODUCT((BD_LUCRO!B2:B202=2025)*(MONTH(BD_LUCRO!C2:C202)=11)*IF(ISNUMBER(BD_LUCRO!O2:O202),BD_LUCRO!O2:O202,0))</f>
        <v>165851.95000000001</v>
      </c>
      <c r="C28" s="84">
        <f>SUMPRODUCT((BD_LUCRO!B2:B202=2026)*(MONTH(BD_LUCRO!C2:C202)=11)*IF(ISNUMBER(BD_LUCRO!O2:O202),BD_LUCRO!O2:O202,0))</f>
        <v>0</v>
      </c>
      <c r="D28" s="23">
        <f t="shared" si="2"/>
        <v>-165851.95000000001</v>
      </c>
      <c r="E28" s="24">
        <f t="shared" si="3"/>
        <v>-1</v>
      </c>
    </row>
    <row r="29" spans="1:5" x14ac:dyDescent="0.25">
      <c r="A29" s="25" t="s">
        <v>30</v>
      </c>
      <c r="B29" s="83">
        <f>SUMPRODUCT((BD_LUCRO!B2:B202=2025)*(MONTH(BD_LUCRO!C2:C202)=12)*IF(ISNUMBER(BD_LUCRO!O2:O202),BD_LUCRO!O2:O202,0))</f>
        <v>84051.78</v>
      </c>
      <c r="C29" s="83">
        <f>SUMPRODUCT((BD_LUCRO!B2:B202=2026)*(MONTH(BD_LUCRO!C2:C202)=12)*IF(ISNUMBER(BD_LUCRO!O2:O202),BD_LUCRO!O2:O202,0))</f>
        <v>0</v>
      </c>
      <c r="D29" s="26">
        <f t="shared" si="2"/>
        <v>-84051.78</v>
      </c>
      <c r="E29" s="27">
        <f t="shared" si="3"/>
        <v>-1</v>
      </c>
    </row>
    <row r="30" spans="1:5" x14ac:dyDescent="0.25">
      <c r="A30" s="28" t="s">
        <v>31</v>
      </c>
      <c r="B30" s="29">
        <f>SUM(B18:B29)</f>
        <v>4200075.4400000004</v>
      </c>
      <c r="C30" s="29">
        <f>SUM(C18:C29)</f>
        <v>1275125.1500000004</v>
      </c>
      <c r="D30" s="29">
        <f>SUM(D18:D29)</f>
        <v>-2924950.2899999996</v>
      </c>
      <c r="E30" s="30">
        <f t="shared" si="3"/>
        <v>-0.69640422696788506</v>
      </c>
    </row>
  </sheetData>
  <mergeCells count="2">
    <mergeCell ref="A1:E1"/>
    <mergeCell ref="A16:E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3"/>
  <sheetViews>
    <sheetView showGridLines="0" topLeftCell="A183" zoomScaleNormal="100" workbookViewId="0">
      <selection activeCell="B185" sqref="B185"/>
    </sheetView>
  </sheetViews>
  <sheetFormatPr defaultColWidth="13" defaultRowHeight="15" x14ac:dyDescent="0.25"/>
  <cols>
    <col min="1" max="1" width="12.85546875" bestFit="1" customWidth="1"/>
    <col min="2" max="2" width="8.7109375" bestFit="1" customWidth="1"/>
    <col min="3" max="3" width="9" style="31" bestFit="1" customWidth="1"/>
    <col min="4" max="5" width="14.140625" bestFit="1" customWidth="1"/>
    <col min="6" max="6" width="55" bestFit="1" customWidth="1"/>
    <col min="7" max="7" width="52.140625" bestFit="1" customWidth="1"/>
    <col min="8" max="8" width="26.5703125" bestFit="1" customWidth="1"/>
    <col min="9" max="9" width="12.28515625" bestFit="1" customWidth="1"/>
    <col min="10" max="10" width="14.140625" bestFit="1" customWidth="1"/>
    <col min="11" max="11" width="15.140625" bestFit="1" customWidth="1"/>
    <col min="12" max="12" width="14.140625" bestFit="1" customWidth="1"/>
    <col min="13" max="13" width="13.140625" bestFit="1" customWidth="1"/>
    <col min="14" max="14" width="13.7109375" bestFit="1" customWidth="1"/>
    <col min="15" max="15" width="13.5703125" bestFit="1" customWidth="1"/>
    <col min="16" max="16" width="15.28515625" bestFit="1" customWidth="1"/>
  </cols>
  <sheetData>
    <row r="1" spans="1:16" x14ac:dyDescent="0.25">
      <c r="A1" s="32" t="s">
        <v>34</v>
      </c>
      <c r="B1" s="33" t="s">
        <v>35</v>
      </c>
      <c r="C1" s="33" t="s">
        <v>16</v>
      </c>
      <c r="D1" s="34" t="s">
        <v>36</v>
      </c>
      <c r="E1" s="34" t="s">
        <v>37</v>
      </c>
      <c r="F1" s="34" t="s">
        <v>38</v>
      </c>
      <c r="G1" s="34" t="s">
        <v>39</v>
      </c>
      <c r="H1" s="35" t="s">
        <v>32</v>
      </c>
      <c r="I1" s="35" t="s">
        <v>40</v>
      </c>
      <c r="J1" s="116" t="s">
        <v>41</v>
      </c>
      <c r="K1" s="35" t="s">
        <v>42</v>
      </c>
      <c r="L1" s="35" t="s">
        <v>43</v>
      </c>
      <c r="M1" s="35" t="s">
        <v>44</v>
      </c>
      <c r="N1" s="35" t="s">
        <v>45</v>
      </c>
      <c r="O1" s="34" t="s">
        <v>46</v>
      </c>
      <c r="P1" s="117" t="s">
        <v>47</v>
      </c>
    </row>
    <row r="2" spans="1:16" x14ac:dyDescent="0.25">
      <c r="A2" s="37" t="s">
        <v>51</v>
      </c>
      <c r="B2" s="38">
        <v>2025</v>
      </c>
      <c r="C2" s="39">
        <v>45658</v>
      </c>
      <c r="D2" s="96" t="s">
        <v>123</v>
      </c>
      <c r="E2" s="40" t="s">
        <v>124</v>
      </c>
      <c r="F2" s="40" t="s">
        <v>125</v>
      </c>
      <c r="G2" s="96" t="s">
        <v>126</v>
      </c>
      <c r="H2" s="41" t="s">
        <v>33</v>
      </c>
      <c r="I2" s="42">
        <v>558840</v>
      </c>
      <c r="J2" s="42">
        <f t="shared" ref="J2:J65" si="0">I2/60</f>
        <v>9314</v>
      </c>
      <c r="K2" s="41">
        <v>138070</v>
      </c>
      <c r="L2" s="41">
        <v>94425.600000000006</v>
      </c>
      <c r="M2" s="41">
        <v>0</v>
      </c>
      <c r="N2" s="41">
        <v>5658.25</v>
      </c>
      <c r="O2" s="41">
        <v>37986.15</v>
      </c>
      <c r="P2" s="43">
        <f>BD_LUCRO[[#This Row],[Lucro Líq.]]/BD_LUCRO[[#This Row],[Sacas/Ton]]</f>
        <v>4.0783927421086537</v>
      </c>
    </row>
    <row r="3" spans="1:16" x14ac:dyDescent="0.25">
      <c r="A3" s="37" t="s">
        <v>51</v>
      </c>
      <c r="B3" s="38">
        <v>2025</v>
      </c>
      <c r="C3" s="39">
        <v>45658</v>
      </c>
      <c r="D3" s="96" t="s">
        <v>127</v>
      </c>
      <c r="E3" s="40" t="s">
        <v>128</v>
      </c>
      <c r="F3" s="40" t="s">
        <v>129</v>
      </c>
      <c r="G3" s="96" t="s">
        <v>49</v>
      </c>
      <c r="H3" s="41" t="s">
        <v>33</v>
      </c>
      <c r="I3" s="42">
        <v>413950</v>
      </c>
      <c r="J3" s="42">
        <f t="shared" si="0"/>
        <v>6899.166666666667</v>
      </c>
      <c r="K3" s="41">
        <v>34495.83</v>
      </c>
      <c r="L3" s="41">
        <v>0</v>
      </c>
      <c r="M3" s="41">
        <v>0</v>
      </c>
      <c r="N3" s="41">
        <v>2069.75</v>
      </c>
      <c r="O3" s="41">
        <v>32426.080000000002</v>
      </c>
      <c r="P3" s="43">
        <f>BD_LUCRO[[#This Row],[Lucro Líq.]]/BD_LUCRO[[#This Row],[Sacas/Ton]]</f>
        <v>4.6999995168498607</v>
      </c>
    </row>
    <row r="4" spans="1:16" x14ac:dyDescent="0.25">
      <c r="A4" s="37" t="s">
        <v>51</v>
      </c>
      <c r="B4" s="38">
        <v>2025</v>
      </c>
      <c r="C4" s="39">
        <v>45658</v>
      </c>
      <c r="D4" s="96" t="s">
        <v>130</v>
      </c>
      <c r="E4" s="40" t="s">
        <v>124</v>
      </c>
      <c r="F4" s="40" t="s">
        <v>125</v>
      </c>
      <c r="G4" s="96" t="s">
        <v>131</v>
      </c>
      <c r="H4" s="41" t="s">
        <v>33</v>
      </c>
      <c r="I4" s="42">
        <v>309400</v>
      </c>
      <c r="J4" s="42">
        <f t="shared" si="0"/>
        <v>5156.666666666667</v>
      </c>
      <c r="K4" s="41">
        <v>110649.60000000001</v>
      </c>
      <c r="L4" s="41">
        <v>81294.399999999994</v>
      </c>
      <c r="M4" s="41">
        <v>0</v>
      </c>
      <c r="N4" s="41">
        <v>3145.57</v>
      </c>
      <c r="O4" s="41">
        <v>23867.52</v>
      </c>
      <c r="P4" s="43">
        <f>BD_LUCRO[[#This Row],[Lucro Líq.]]/BD_LUCRO[[#This Row],[Sacas/Ton]]</f>
        <v>4.6284783451842273</v>
      </c>
    </row>
    <row r="5" spans="1:16" x14ac:dyDescent="0.25">
      <c r="A5" s="76" t="s">
        <v>51</v>
      </c>
      <c r="B5" s="77">
        <v>2025</v>
      </c>
      <c r="C5" s="78">
        <v>45689</v>
      </c>
      <c r="D5" s="90" t="s">
        <v>92</v>
      </c>
      <c r="E5" s="79" t="s">
        <v>132</v>
      </c>
      <c r="F5" s="79" t="s">
        <v>133</v>
      </c>
      <c r="G5" s="90" t="s">
        <v>92</v>
      </c>
      <c r="H5" s="80" t="s">
        <v>134</v>
      </c>
      <c r="I5" s="81">
        <v>40</v>
      </c>
      <c r="J5" s="81">
        <f t="shared" si="0"/>
        <v>0.66666666666666663</v>
      </c>
      <c r="K5" s="80">
        <v>0</v>
      </c>
      <c r="L5" s="80">
        <v>0</v>
      </c>
      <c r="M5" s="80">
        <v>0</v>
      </c>
      <c r="N5" s="80">
        <v>0</v>
      </c>
      <c r="O5" s="80">
        <v>0</v>
      </c>
      <c r="P5" s="82">
        <f>BD_LUCRO[[#This Row],[Lucro Líq.]]/BD_LUCRO[[#This Row],[Sacas/Ton]]</f>
        <v>0</v>
      </c>
    </row>
    <row r="6" spans="1:16" x14ac:dyDescent="0.25">
      <c r="A6" s="76" t="s">
        <v>51</v>
      </c>
      <c r="B6" s="77">
        <v>2025</v>
      </c>
      <c r="C6" s="78">
        <v>45689</v>
      </c>
      <c r="D6" s="96" t="s">
        <v>135</v>
      </c>
      <c r="E6" s="40" t="s">
        <v>136</v>
      </c>
      <c r="F6" s="40" t="s">
        <v>137</v>
      </c>
      <c r="G6" s="96" t="s">
        <v>48</v>
      </c>
      <c r="H6" s="41" t="s">
        <v>33</v>
      </c>
      <c r="I6" s="42">
        <v>134954</v>
      </c>
      <c r="J6" s="42">
        <f t="shared" si="0"/>
        <v>2249.2333333333331</v>
      </c>
      <c r="K6" s="41">
        <v>61086.48</v>
      </c>
      <c r="L6" s="41">
        <v>0</v>
      </c>
      <c r="M6" s="41">
        <v>0</v>
      </c>
      <c r="N6" s="41">
        <v>1124.6199999999999</v>
      </c>
      <c r="O6" s="41">
        <v>59961.86</v>
      </c>
      <c r="P6" s="43">
        <f>BD_LUCRO[[#This Row],[Lucro Líq.]]/BD_LUCRO[[#This Row],[Sacas/Ton]]</f>
        <v>26.65879929457445</v>
      </c>
    </row>
    <row r="7" spans="1:16" x14ac:dyDescent="0.25">
      <c r="A7" s="76" t="s">
        <v>51</v>
      </c>
      <c r="B7" s="77">
        <v>2025</v>
      </c>
      <c r="C7" s="78">
        <v>45689</v>
      </c>
      <c r="D7" s="96" t="s">
        <v>138</v>
      </c>
      <c r="E7" s="40" t="s">
        <v>136</v>
      </c>
      <c r="F7" s="40" t="s">
        <v>137</v>
      </c>
      <c r="G7" s="96" t="s">
        <v>49</v>
      </c>
      <c r="H7" s="41" t="s">
        <v>33</v>
      </c>
      <c r="I7" s="42">
        <v>222150</v>
      </c>
      <c r="J7" s="42">
        <f t="shared" si="0"/>
        <v>3702.5</v>
      </c>
      <c r="K7" s="41">
        <v>106439.1</v>
      </c>
      <c r="L7" s="41">
        <v>0</v>
      </c>
      <c r="M7" s="41">
        <v>0</v>
      </c>
      <c r="N7" s="41">
        <v>1851.25</v>
      </c>
      <c r="O7" s="41">
        <v>104587.85</v>
      </c>
      <c r="P7" s="43">
        <f>BD_LUCRO[[#This Row],[Lucro Líq.]]/BD_LUCRO[[#This Row],[Sacas/Ton]]</f>
        <v>28.247900067521947</v>
      </c>
    </row>
    <row r="8" spans="1:16" x14ac:dyDescent="0.25">
      <c r="A8" s="76" t="s">
        <v>51</v>
      </c>
      <c r="B8" s="77">
        <v>2025</v>
      </c>
      <c r="C8" s="78">
        <v>45689</v>
      </c>
      <c r="D8" s="96" t="s">
        <v>139</v>
      </c>
      <c r="E8" s="40" t="s">
        <v>140</v>
      </c>
      <c r="F8" s="40" t="s">
        <v>52</v>
      </c>
      <c r="G8" s="96" t="s">
        <v>53</v>
      </c>
      <c r="H8" s="41" t="s">
        <v>33</v>
      </c>
      <c r="I8" s="42">
        <v>498138</v>
      </c>
      <c r="J8" s="42">
        <f t="shared" si="0"/>
        <v>8302.2999999999993</v>
      </c>
      <c r="K8" s="41">
        <v>263630.40000000002</v>
      </c>
      <c r="L8" s="41">
        <v>0</v>
      </c>
      <c r="M8" s="41">
        <v>0</v>
      </c>
      <c r="N8" s="41">
        <v>4151.1499999999996</v>
      </c>
      <c r="O8" s="41">
        <v>259479.25</v>
      </c>
      <c r="P8" s="43">
        <f>BD_LUCRO[[#This Row],[Lucro Líq.]]/BD_LUCRO[[#This Row],[Sacas/Ton]]</f>
        <v>31.253899521819257</v>
      </c>
    </row>
    <row r="9" spans="1:16" x14ac:dyDescent="0.25">
      <c r="A9" s="76" t="s">
        <v>51</v>
      </c>
      <c r="B9" s="77">
        <v>2025</v>
      </c>
      <c r="C9" s="78">
        <v>45689</v>
      </c>
      <c r="D9" s="96" t="s">
        <v>141</v>
      </c>
      <c r="E9" s="40" t="s">
        <v>142</v>
      </c>
      <c r="F9" s="40" t="s">
        <v>143</v>
      </c>
      <c r="G9" s="96" t="s">
        <v>49</v>
      </c>
      <c r="H9" s="41" t="s">
        <v>33</v>
      </c>
      <c r="I9" s="42">
        <v>98041</v>
      </c>
      <c r="J9" s="42">
        <f t="shared" si="0"/>
        <v>1634.0166666666667</v>
      </c>
      <c r="K9" s="41">
        <v>31373.119999999999</v>
      </c>
      <c r="L9" s="41">
        <v>0</v>
      </c>
      <c r="M9" s="41">
        <v>0</v>
      </c>
      <c r="N9" s="41">
        <v>490.21</v>
      </c>
      <c r="O9" s="41">
        <v>30882.92</v>
      </c>
      <c r="P9" s="43">
        <f>BD_LUCRO[[#This Row],[Lucro Líq.]]/BD_LUCRO[[#This Row],[Sacas/Ton]]</f>
        <v>18.900003059944307</v>
      </c>
    </row>
    <row r="10" spans="1:16" x14ac:dyDescent="0.25">
      <c r="A10" s="76" t="s">
        <v>51</v>
      </c>
      <c r="B10" s="77">
        <v>2025</v>
      </c>
      <c r="C10" s="78">
        <v>45689</v>
      </c>
      <c r="D10" s="96" t="s">
        <v>141</v>
      </c>
      <c r="E10" s="40" t="s">
        <v>144</v>
      </c>
      <c r="F10" s="40" t="s">
        <v>129</v>
      </c>
      <c r="G10" s="96" t="s">
        <v>49</v>
      </c>
      <c r="H10" s="41" t="s">
        <v>33</v>
      </c>
      <c r="I10" s="42">
        <v>33405</v>
      </c>
      <c r="J10" s="42">
        <f t="shared" si="0"/>
        <v>556.75</v>
      </c>
      <c r="K10" s="41">
        <v>4175.63</v>
      </c>
      <c r="L10" s="41">
        <v>0</v>
      </c>
      <c r="M10" s="41">
        <v>0</v>
      </c>
      <c r="N10" s="41">
        <v>167.03</v>
      </c>
      <c r="O10" s="41">
        <v>4008.6</v>
      </c>
      <c r="P10" s="43">
        <f>BD_LUCRO[[#This Row],[Lucro Líq.]]/BD_LUCRO[[#This Row],[Sacas/Ton]]</f>
        <v>7.2</v>
      </c>
    </row>
    <row r="11" spans="1:16" x14ac:dyDescent="0.25">
      <c r="A11" s="76" t="s">
        <v>51</v>
      </c>
      <c r="B11" s="77">
        <v>2025</v>
      </c>
      <c r="C11" s="78">
        <v>45689</v>
      </c>
      <c r="D11" s="96" t="s">
        <v>141</v>
      </c>
      <c r="E11" s="40" t="s">
        <v>136</v>
      </c>
      <c r="F11" s="40" t="s">
        <v>137</v>
      </c>
      <c r="G11" s="96" t="s">
        <v>49</v>
      </c>
      <c r="H11" s="41" t="s">
        <v>33</v>
      </c>
      <c r="I11" s="42">
        <v>418009</v>
      </c>
      <c r="J11" s="42">
        <f t="shared" si="0"/>
        <v>6966.8166666666666</v>
      </c>
      <c r="K11" s="41">
        <v>217698.39</v>
      </c>
      <c r="L11" s="41">
        <v>0</v>
      </c>
      <c r="M11" s="41">
        <v>0</v>
      </c>
      <c r="N11" s="41">
        <v>3483.41</v>
      </c>
      <c r="O11" s="41">
        <v>214214.98</v>
      </c>
      <c r="P11" s="43">
        <f>BD_LUCRO[[#This Row],[Lucro Líq.]]/BD_LUCRO[[#This Row],[Sacas/Ton]]</f>
        <v>30.747899686370392</v>
      </c>
    </row>
    <row r="12" spans="1:16" x14ac:dyDescent="0.25">
      <c r="A12" s="76" t="s">
        <v>51</v>
      </c>
      <c r="B12" s="77">
        <v>2025</v>
      </c>
      <c r="C12" s="78">
        <v>45689</v>
      </c>
      <c r="D12" s="96" t="s">
        <v>141</v>
      </c>
      <c r="E12" s="40" t="s">
        <v>140</v>
      </c>
      <c r="F12" s="40" t="s">
        <v>52</v>
      </c>
      <c r="G12" s="96" t="s">
        <v>49</v>
      </c>
      <c r="H12" s="41" t="s">
        <v>33</v>
      </c>
      <c r="I12" s="42">
        <v>50545</v>
      </c>
      <c r="J12" s="42">
        <f t="shared" si="0"/>
        <v>842.41666666666663</v>
      </c>
      <c r="K12" s="41">
        <v>28856.06</v>
      </c>
      <c r="L12" s="41">
        <v>0</v>
      </c>
      <c r="M12" s="41">
        <v>0</v>
      </c>
      <c r="N12" s="41">
        <v>252.73</v>
      </c>
      <c r="O12" s="41">
        <v>28603.33</v>
      </c>
      <c r="P12" s="43">
        <f>BD_LUCRO[[#This Row],[Lucro Líq.]]/BD_LUCRO[[#This Row],[Sacas/Ton]]</f>
        <v>33.953898506281533</v>
      </c>
    </row>
    <row r="13" spans="1:16" x14ac:dyDescent="0.25">
      <c r="A13" s="76" t="s">
        <v>51</v>
      </c>
      <c r="B13" s="77">
        <v>2025</v>
      </c>
      <c r="C13" s="78">
        <v>45689</v>
      </c>
      <c r="D13" s="96" t="s">
        <v>127</v>
      </c>
      <c r="E13" s="40" t="s">
        <v>128</v>
      </c>
      <c r="F13" s="40" t="s">
        <v>129</v>
      </c>
      <c r="G13" s="96" t="s">
        <v>49</v>
      </c>
      <c r="H13" s="41" t="s">
        <v>33</v>
      </c>
      <c r="I13" s="42">
        <v>186050</v>
      </c>
      <c r="J13" s="42">
        <f t="shared" si="0"/>
        <v>3100.8333333333335</v>
      </c>
      <c r="K13" s="41">
        <v>15504.17</v>
      </c>
      <c r="L13" s="41">
        <v>0</v>
      </c>
      <c r="M13" s="41">
        <v>0</v>
      </c>
      <c r="N13" s="41">
        <v>930.25</v>
      </c>
      <c r="O13" s="41">
        <v>14573.92</v>
      </c>
      <c r="P13" s="43">
        <f>BD_LUCRO[[#This Row],[Lucro Líq.]]/BD_LUCRO[[#This Row],[Sacas/Ton]]</f>
        <v>4.700001074979844</v>
      </c>
    </row>
    <row r="14" spans="1:16" x14ac:dyDescent="0.25">
      <c r="A14" s="76" t="s">
        <v>51</v>
      </c>
      <c r="B14" s="77">
        <v>2025</v>
      </c>
      <c r="C14" s="78">
        <v>45689</v>
      </c>
      <c r="D14" s="96" t="s">
        <v>145</v>
      </c>
      <c r="E14" s="40" t="s">
        <v>136</v>
      </c>
      <c r="F14" s="40" t="s">
        <v>137</v>
      </c>
      <c r="G14" s="96" t="s">
        <v>49</v>
      </c>
      <c r="H14" s="41" t="s">
        <v>33</v>
      </c>
      <c r="I14" s="42">
        <v>132743</v>
      </c>
      <c r="J14" s="42">
        <f t="shared" si="0"/>
        <v>2212.3833333333332</v>
      </c>
      <c r="K14" s="41">
        <v>52981.93</v>
      </c>
      <c r="L14" s="41">
        <v>0</v>
      </c>
      <c r="M14" s="41">
        <v>0</v>
      </c>
      <c r="N14" s="41">
        <v>1106.19</v>
      </c>
      <c r="O14" s="41">
        <v>51875.74</v>
      </c>
      <c r="P14" s="43">
        <f>BD_LUCRO[[#This Row],[Lucro Líq.]]/BD_LUCRO[[#This Row],[Sacas/Ton]]</f>
        <v>23.44789857092276</v>
      </c>
    </row>
    <row r="15" spans="1:16" x14ac:dyDescent="0.25">
      <c r="A15" s="76" t="s">
        <v>51</v>
      </c>
      <c r="B15" s="77">
        <v>2025</v>
      </c>
      <c r="C15" s="78">
        <v>45717</v>
      </c>
      <c r="D15" s="90" t="s">
        <v>146</v>
      </c>
      <c r="E15" s="79" t="s">
        <v>136</v>
      </c>
      <c r="F15" s="79" t="s">
        <v>137</v>
      </c>
      <c r="G15" s="90" t="s">
        <v>48</v>
      </c>
      <c r="H15" s="80" t="s">
        <v>33</v>
      </c>
      <c r="I15" s="81">
        <v>600000</v>
      </c>
      <c r="J15" s="81">
        <f t="shared" si="0"/>
        <v>10000</v>
      </c>
      <c r="K15" s="80">
        <v>321479</v>
      </c>
      <c r="L15" s="80">
        <v>0</v>
      </c>
      <c r="M15" s="80">
        <v>0</v>
      </c>
      <c r="N15" s="80">
        <v>5000</v>
      </c>
      <c r="O15" s="80">
        <v>316479</v>
      </c>
      <c r="P15" s="82">
        <f>BD_LUCRO[[#This Row],[Lucro Líq.]]/BD_LUCRO[[#This Row],[Sacas/Ton]]</f>
        <v>31.6479</v>
      </c>
    </row>
    <row r="16" spans="1:16" x14ac:dyDescent="0.25">
      <c r="A16" s="76" t="s">
        <v>51</v>
      </c>
      <c r="B16" s="77">
        <v>2025</v>
      </c>
      <c r="C16" s="78">
        <v>45717</v>
      </c>
      <c r="D16" s="90" t="s">
        <v>135</v>
      </c>
      <c r="E16" s="79" t="s">
        <v>136</v>
      </c>
      <c r="F16" s="79" t="s">
        <v>137</v>
      </c>
      <c r="G16" s="90" t="s">
        <v>48</v>
      </c>
      <c r="H16" s="80" t="s">
        <v>33</v>
      </c>
      <c r="I16" s="81">
        <v>165046</v>
      </c>
      <c r="J16" s="81">
        <f t="shared" si="0"/>
        <v>2750.7666666666669</v>
      </c>
      <c r="K16" s="80">
        <v>74707.520000000004</v>
      </c>
      <c r="L16" s="80">
        <v>0</v>
      </c>
      <c r="M16" s="80">
        <v>0</v>
      </c>
      <c r="N16" s="80">
        <v>1375.38</v>
      </c>
      <c r="O16" s="80">
        <v>73332.14</v>
      </c>
      <c r="P16" s="82">
        <f>BD_LUCRO[[#This Row],[Lucro Líq.]]/BD_LUCRO[[#This Row],[Sacas/Ton]]</f>
        <v>26.658800576808886</v>
      </c>
    </row>
    <row r="17" spans="1:16" x14ac:dyDescent="0.25">
      <c r="A17" s="76" t="s">
        <v>51</v>
      </c>
      <c r="B17" s="77">
        <v>2025</v>
      </c>
      <c r="C17" s="78">
        <v>45717</v>
      </c>
      <c r="D17" s="90" t="s">
        <v>138</v>
      </c>
      <c r="E17" s="79" t="s">
        <v>147</v>
      </c>
      <c r="F17" s="79" t="s">
        <v>50</v>
      </c>
      <c r="G17" s="90" t="s">
        <v>49</v>
      </c>
      <c r="H17" s="80" t="s">
        <v>33</v>
      </c>
      <c r="I17" s="81">
        <v>77850</v>
      </c>
      <c r="J17" s="81">
        <f t="shared" si="0"/>
        <v>1297.5</v>
      </c>
      <c r="K17" s="80">
        <v>47151.93</v>
      </c>
      <c r="L17" s="80">
        <v>0</v>
      </c>
      <c r="M17" s="80">
        <v>0</v>
      </c>
      <c r="N17" s="80">
        <v>1297.5</v>
      </c>
      <c r="O17" s="80">
        <v>45854.43</v>
      </c>
      <c r="P17" s="82">
        <f>BD_LUCRO[[#This Row],[Lucro Líq.]]/BD_LUCRO[[#This Row],[Sacas/Ton]]</f>
        <v>35.340601156069361</v>
      </c>
    </row>
    <row r="18" spans="1:16" x14ac:dyDescent="0.25">
      <c r="A18" s="76" t="s">
        <v>51</v>
      </c>
      <c r="B18" s="77">
        <v>2025</v>
      </c>
      <c r="C18" s="78">
        <v>45717</v>
      </c>
      <c r="D18" s="90" t="s">
        <v>139</v>
      </c>
      <c r="E18" s="79" t="s">
        <v>140</v>
      </c>
      <c r="F18" s="79" t="s">
        <v>52</v>
      </c>
      <c r="G18" s="90" t="s">
        <v>53</v>
      </c>
      <c r="H18" s="80" t="s">
        <v>33</v>
      </c>
      <c r="I18" s="81">
        <v>101862</v>
      </c>
      <c r="J18" s="81">
        <f t="shared" si="0"/>
        <v>1697.7</v>
      </c>
      <c r="K18" s="80">
        <v>53908.6</v>
      </c>
      <c r="L18" s="80">
        <v>0</v>
      </c>
      <c r="M18" s="80">
        <v>0</v>
      </c>
      <c r="N18" s="80">
        <v>848.85</v>
      </c>
      <c r="O18" s="80">
        <v>53059.75</v>
      </c>
      <c r="P18" s="82">
        <f>BD_LUCRO[[#This Row],[Lucro Líq.]]/BD_LUCRO[[#This Row],[Sacas/Ton]]</f>
        <v>31.253902338457912</v>
      </c>
    </row>
    <row r="19" spans="1:16" x14ac:dyDescent="0.25">
      <c r="A19" s="76" t="s">
        <v>51</v>
      </c>
      <c r="B19" s="77">
        <v>2025</v>
      </c>
      <c r="C19" s="78">
        <v>45717</v>
      </c>
      <c r="D19" s="90" t="s">
        <v>148</v>
      </c>
      <c r="E19" s="79" t="s">
        <v>140</v>
      </c>
      <c r="F19" s="79" t="s">
        <v>52</v>
      </c>
      <c r="G19" s="90" t="s">
        <v>53</v>
      </c>
      <c r="H19" s="80" t="s">
        <v>33</v>
      </c>
      <c r="I19" s="81">
        <v>300000</v>
      </c>
      <c r="J19" s="81">
        <f t="shared" si="0"/>
        <v>5000</v>
      </c>
      <c r="K19" s="80">
        <v>107509.5</v>
      </c>
      <c r="L19" s="80">
        <v>0</v>
      </c>
      <c r="M19" s="80">
        <v>0</v>
      </c>
      <c r="N19" s="80">
        <v>2500</v>
      </c>
      <c r="O19" s="80">
        <v>105009.5</v>
      </c>
      <c r="P19" s="82">
        <f>BD_LUCRO[[#This Row],[Lucro Líq.]]/BD_LUCRO[[#This Row],[Sacas/Ton]]</f>
        <v>21.001899999999999</v>
      </c>
    </row>
    <row r="20" spans="1:16" x14ac:dyDescent="0.25">
      <c r="A20" s="76" t="s">
        <v>51</v>
      </c>
      <c r="B20" s="77">
        <v>2025</v>
      </c>
      <c r="C20" s="78">
        <v>45717</v>
      </c>
      <c r="D20" s="90" t="s">
        <v>149</v>
      </c>
      <c r="E20" s="79" t="s">
        <v>136</v>
      </c>
      <c r="F20" s="79" t="s">
        <v>137</v>
      </c>
      <c r="G20" s="90" t="s">
        <v>48</v>
      </c>
      <c r="H20" s="80" t="s">
        <v>33</v>
      </c>
      <c r="I20" s="81">
        <v>14880</v>
      </c>
      <c r="J20" s="81">
        <f t="shared" si="0"/>
        <v>248</v>
      </c>
      <c r="K20" s="80">
        <v>5517.48</v>
      </c>
      <c r="L20" s="80">
        <v>0</v>
      </c>
      <c r="M20" s="80">
        <v>0</v>
      </c>
      <c r="N20" s="80">
        <v>124</v>
      </c>
      <c r="O20" s="80">
        <v>5393.48</v>
      </c>
      <c r="P20" s="82">
        <f>BD_LUCRO[[#This Row],[Lucro Líq.]]/BD_LUCRO[[#This Row],[Sacas/Ton]]</f>
        <v>21.74790322580645</v>
      </c>
    </row>
    <row r="21" spans="1:16" x14ac:dyDescent="0.25">
      <c r="A21" s="76" t="s">
        <v>51</v>
      </c>
      <c r="B21" s="77">
        <v>2025</v>
      </c>
      <c r="C21" s="78">
        <v>45717</v>
      </c>
      <c r="D21" s="90" t="s">
        <v>145</v>
      </c>
      <c r="E21" s="79" t="s">
        <v>147</v>
      </c>
      <c r="F21" s="79" t="s">
        <v>50</v>
      </c>
      <c r="G21" s="90" t="s">
        <v>49</v>
      </c>
      <c r="H21" s="80" t="s">
        <v>33</v>
      </c>
      <c r="I21" s="81">
        <v>161290</v>
      </c>
      <c r="J21" s="81">
        <f t="shared" si="0"/>
        <v>2688.1666666666665</v>
      </c>
      <c r="K21" s="80">
        <v>84786.39</v>
      </c>
      <c r="L21" s="80">
        <v>0</v>
      </c>
      <c r="M21" s="80">
        <v>0</v>
      </c>
      <c r="N21" s="80">
        <v>27698.25</v>
      </c>
      <c r="O21" s="80">
        <v>57088.14</v>
      </c>
      <c r="P21" s="82">
        <f>BD_LUCRO[[#This Row],[Lucro Líq.]]/BD_LUCRO[[#This Row],[Sacas/Ton]]</f>
        <v>21.236830553661108</v>
      </c>
    </row>
    <row r="22" spans="1:16" x14ac:dyDescent="0.25">
      <c r="A22" s="76" t="s">
        <v>51</v>
      </c>
      <c r="B22" s="77">
        <v>2025</v>
      </c>
      <c r="C22" s="78">
        <v>45717</v>
      </c>
      <c r="D22" s="90" t="s">
        <v>145</v>
      </c>
      <c r="E22" s="79" t="s">
        <v>136</v>
      </c>
      <c r="F22" s="79" t="s">
        <v>137</v>
      </c>
      <c r="G22" s="90" t="s">
        <v>49</v>
      </c>
      <c r="H22" s="80" t="s">
        <v>33</v>
      </c>
      <c r="I22" s="81">
        <v>305967</v>
      </c>
      <c r="J22" s="81">
        <f t="shared" si="0"/>
        <v>5099.45</v>
      </c>
      <c r="K22" s="80">
        <v>122121.12</v>
      </c>
      <c r="L22" s="80">
        <v>0</v>
      </c>
      <c r="M22" s="80">
        <v>0</v>
      </c>
      <c r="N22" s="80">
        <v>2549.73</v>
      </c>
      <c r="O22" s="80">
        <v>119571.39</v>
      </c>
      <c r="P22" s="82">
        <f>BD_LUCRO[[#This Row],[Lucro Líq.]]/BD_LUCRO[[#This Row],[Sacas/Ton]]</f>
        <v>23.447899283256039</v>
      </c>
    </row>
    <row r="23" spans="1:16" x14ac:dyDescent="0.25">
      <c r="A23" s="76" t="s">
        <v>51</v>
      </c>
      <c r="B23" s="77">
        <v>2025</v>
      </c>
      <c r="C23" s="78">
        <v>45717</v>
      </c>
      <c r="D23" s="90" t="s">
        <v>150</v>
      </c>
      <c r="E23" s="79" t="s">
        <v>147</v>
      </c>
      <c r="F23" s="79" t="s">
        <v>50</v>
      </c>
      <c r="G23" s="90" t="s">
        <v>151</v>
      </c>
      <c r="H23" s="80" t="s">
        <v>33</v>
      </c>
      <c r="I23" s="81">
        <v>100730</v>
      </c>
      <c r="J23" s="81">
        <f t="shared" si="0"/>
        <v>1678.8333333333333</v>
      </c>
      <c r="K23" s="80">
        <v>50936.81</v>
      </c>
      <c r="L23" s="80">
        <v>0</v>
      </c>
      <c r="M23" s="80">
        <v>0</v>
      </c>
      <c r="N23" s="80">
        <v>11678.84</v>
      </c>
      <c r="O23" s="80">
        <v>39257.97</v>
      </c>
      <c r="P23" s="82">
        <f>BD_LUCRO[[#This Row],[Lucro Líq.]]/BD_LUCRO[[#This Row],[Sacas/Ton]]</f>
        <v>23.384078228928821</v>
      </c>
    </row>
    <row r="24" spans="1:16" x14ac:dyDescent="0.25">
      <c r="A24" s="76" t="s">
        <v>51</v>
      </c>
      <c r="B24" s="77">
        <v>2025</v>
      </c>
      <c r="C24" s="78">
        <v>45717</v>
      </c>
      <c r="D24" s="90" t="s">
        <v>150</v>
      </c>
      <c r="E24" s="79" t="s">
        <v>140</v>
      </c>
      <c r="F24" s="79" t="s">
        <v>52</v>
      </c>
      <c r="G24" s="90" t="s">
        <v>151</v>
      </c>
      <c r="H24" s="80" t="s">
        <v>33</v>
      </c>
      <c r="I24" s="81">
        <v>250549</v>
      </c>
      <c r="J24" s="81">
        <f t="shared" si="0"/>
        <v>4175.8166666666666</v>
      </c>
      <c r="K24" s="80">
        <v>107543.56</v>
      </c>
      <c r="L24" s="80">
        <v>0</v>
      </c>
      <c r="M24" s="80">
        <v>0</v>
      </c>
      <c r="N24" s="80">
        <v>2087.91</v>
      </c>
      <c r="O24" s="80">
        <v>105455.66</v>
      </c>
      <c r="P24" s="82">
        <f>BD_LUCRO[[#This Row],[Lucro Líq.]]/BD_LUCRO[[#This Row],[Sacas/Ton]]</f>
        <v>25.253900833769045</v>
      </c>
    </row>
    <row r="25" spans="1:16" x14ac:dyDescent="0.25">
      <c r="A25" s="76" t="s">
        <v>51</v>
      </c>
      <c r="B25" s="77">
        <v>2025</v>
      </c>
      <c r="C25" s="78">
        <v>45717</v>
      </c>
      <c r="D25" s="90" t="s">
        <v>152</v>
      </c>
      <c r="E25" s="79" t="s">
        <v>140</v>
      </c>
      <c r="F25" s="79" t="s">
        <v>52</v>
      </c>
      <c r="G25" s="90" t="s">
        <v>53</v>
      </c>
      <c r="H25" s="80" t="s">
        <v>33</v>
      </c>
      <c r="I25" s="81">
        <v>26316</v>
      </c>
      <c r="J25" s="81">
        <f t="shared" si="0"/>
        <v>438.6</v>
      </c>
      <c r="K25" s="80">
        <v>10857.06</v>
      </c>
      <c r="L25" s="80">
        <v>0</v>
      </c>
      <c r="M25" s="80">
        <v>0</v>
      </c>
      <c r="N25" s="80">
        <v>219.3</v>
      </c>
      <c r="O25" s="80">
        <v>10637.76</v>
      </c>
      <c r="P25" s="82">
        <f>BD_LUCRO[[#This Row],[Lucro Líq.]]/BD_LUCRO[[#This Row],[Sacas/Ton]]</f>
        <v>24.253898768809847</v>
      </c>
    </row>
    <row r="26" spans="1:16" x14ac:dyDescent="0.25">
      <c r="A26" s="76" t="s">
        <v>51</v>
      </c>
      <c r="B26" s="77">
        <v>2025</v>
      </c>
      <c r="C26" s="78">
        <v>45717</v>
      </c>
      <c r="D26" s="90" t="s">
        <v>153</v>
      </c>
      <c r="E26" s="79" t="s">
        <v>154</v>
      </c>
      <c r="F26" s="79" t="s">
        <v>155</v>
      </c>
      <c r="G26" s="90" t="s">
        <v>156</v>
      </c>
      <c r="H26" s="80" t="s">
        <v>33</v>
      </c>
      <c r="I26" s="81">
        <v>148670</v>
      </c>
      <c r="J26" s="81">
        <f t="shared" si="0"/>
        <v>2477.8333333333335</v>
      </c>
      <c r="K26" s="80">
        <v>4296.32</v>
      </c>
      <c r="L26" s="80">
        <v>0</v>
      </c>
      <c r="M26" s="80">
        <v>0</v>
      </c>
      <c r="N26" s="80">
        <v>2477.83</v>
      </c>
      <c r="O26" s="80">
        <v>1818.48</v>
      </c>
      <c r="P26" s="82">
        <f>BD_LUCRO[[#This Row],[Lucro Líq.]]/BD_LUCRO[[#This Row],[Sacas/Ton]]</f>
        <v>0.73389923992735584</v>
      </c>
    </row>
    <row r="27" spans="1:16" x14ac:dyDescent="0.25">
      <c r="A27" s="76" t="s">
        <v>51</v>
      </c>
      <c r="B27" s="77">
        <v>2025</v>
      </c>
      <c r="C27" s="78">
        <v>45717</v>
      </c>
      <c r="D27" s="90" t="s">
        <v>157</v>
      </c>
      <c r="E27" s="79" t="s">
        <v>147</v>
      </c>
      <c r="F27" s="79" t="s">
        <v>50</v>
      </c>
      <c r="G27" s="90" t="s">
        <v>49</v>
      </c>
      <c r="H27" s="80" t="s">
        <v>33</v>
      </c>
      <c r="I27" s="81">
        <v>86130</v>
      </c>
      <c r="J27" s="81">
        <f t="shared" si="0"/>
        <v>1435.5</v>
      </c>
      <c r="K27" s="80">
        <v>45707.18</v>
      </c>
      <c r="L27" s="80">
        <v>0</v>
      </c>
      <c r="M27" s="80">
        <v>0</v>
      </c>
      <c r="N27" s="80">
        <v>11435.48</v>
      </c>
      <c r="O27" s="80">
        <v>34271.699999999997</v>
      </c>
      <c r="P27" s="82">
        <f>BD_LUCRO[[#This Row],[Lucro Líq.]]/BD_LUCRO[[#This Row],[Sacas/Ton]]</f>
        <v>23.874399164054335</v>
      </c>
    </row>
    <row r="28" spans="1:16" x14ac:dyDescent="0.25">
      <c r="A28" s="76" t="s">
        <v>51</v>
      </c>
      <c r="B28" s="77">
        <v>2025</v>
      </c>
      <c r="C28" s="78">
        <v>45717</v>
      </c>
      <c r="D28" s="90" t="s">
        <v>157</v>
      </c>
      <c r="E28" s="79" t="s">
        <v>136</v>
      </c>
      <c r="F28" s="79" t="s">
        <v>137</v>
      </c>
      <c r="G28" s="90" t="s">
        <v>49</v>
      </c>
      <c r="H28" s="80" t="s">
        <v>33</v>
      </c>
      <c r="I28" s="81">
        <v>33120</v>
      </c>
      <c r="J28" s="81">
        <f t="shared" si="0"/>
        <v>552</v>
      </c>
      <c r="K28" s="80">
        <v>13384.84</v>
      </c>
      <c r="L28" s="80">
        <v>0</v>
      </c>
      <c r="M28" s="80">
        <v>0</v>
      </c>
      <c r="N28" s="80">
        <v>276</v>
      </c>
      <c r="O28" s="80">
        <v>13108.84</v>
      </c>
      <c r="P28" s="82">
        <f>BD_LUCRO[[#This Row],[Lucro Líq.]]/BD_LUCRO[[#This Row],[Sacas/Ton]]</f>
        <v>23.747898550724639</v>
      </c>
    </row>
    <row r="29" spans="1:16" x14ac:dyDescent="0.25">
      <c r="A29" s="76" t="s">
        <v>51</v>
      </c>
      <c r="B29" s="77">
        <v>2025</v>
      </c>
      <c r="C29" s="78">
        <v>45717</v>
      </c>
      <c r="D29" s="90" t="s">
        <v>158</v>
      </c>
      <c r="E29" s="79" t="s">
        <v>159</v>
      </c>
      <c r="F29" s="79" t="s">
        <v>52</v>
      </c>
      <c r="G29" s="90" t="s">
        <v>49</v>
      </c>
      <c r="H29" s="80" t="s">
        <v>33</v>
      </c>
      <c r="I29" s="81">
        <v>272547</v>
      </c>
      <c r="J29" s="81">
        <f t="shared" si="0"/>
        <v>4542.45</v>
      </c>
      <c r="K29" s="80">
        <v>-6813.68</v>
      </c>
      <c r="L29" s="80">
        <v>0</v>
      </c>
      <c r="M29" s="80">
        <v>0</v>
      </c>
      <c r="N29" s="80">
        <v>0</v>
      </c>
      <c r="O29" s="80">
        <v>-6813.68</v>
      </c>
      <c r="P29" s="82">
        <f>BD_LUCRO[[#This Row],[Lucro Líq.]]/BD_LUCRO[[#This Row],[Sacas/Ton]]</f>
        <v>-1.5000011007275811</v>
      </c>
    </row>
    <row r="30" spans="1:16" x14ac:dyDescent="0.25">
      <c r="A30" s="76" t="s">
        <v>51</v>
      </c>
      <c r="B30" s="77">
        <v>2025</v>
      </c>
      <c r="C30" s="78">
        <v>45748</v>
      </c>
      <c r="D30" s="90" t="s">
        <v>150</v>
      </c>
      <c r="E30" s="79" t="s">
        <v>160</v>
      </c>
      <c r="F30" s="79" t="s">
        <v>50</v>
      </c>
      <c r="G30" s="90" t="s">
        <v>151</v>
      </c>
      <c r="H30" s="80" t="s">
        <v>33</v>
      </c>
      <c r="I30" s="81">
        <v>13177</v>
      </c>
      <c r="J30" s="81">
        <f t="shared" si="0"/>
        <v>219.61666666666667</v>
      </c>
      <c r="K30" s="80">
        <v>-219.62</v>
      </c>
      <c r="L30" s="80">
        <v>0</v>
      </c>
      <c r="M30" s="80">
        <v>0</v>
      </c>
      <c r="N30" s="80">
        <v>0</v>
      </c>
      <c r="O30" s="80">
        <v>-219.62</v>
      </c>
      <c r="P30" s="82">
        <f>BD_LUCRO[[#This Row],[Lucro Líq.]]/BD_LUCRO[[#This Row],[Sacas/Ton]]</f>
        <v>-1.0000151779615998</v>
      </c>
    </row>
    <row r="31" spans="1:16" x14ac:dyDescent="0.25">
      <c r="A31" s="76" t="s">
        <v>51</v>
      </c>
      <c r="B31" s="77">
        <v>2025</v>
      </c>
      <c r="C31" s="78">
        <v>45748</v>
      </c>
      <c r="D31" s="90" t="s">
        <v>150</v>
      </c>
      <c r="E31" s="79" t="s">
        <v>140</v>
      </c>
      <c r="F31" s="79" t="s">
        <v>52</v>
      </c>
      <c r="G31" s="90" t="s">
        <v>151</v>
      </c>
      <c r="H31" s="80" t="s">
        <v>33</v>
      </c>
      <c r="I31" s="81">
        <v>232720</v>
      </c>
      <c r="J31" s="81">
        <f t="shared" si="0"/>
        <v>3878.6666666666665</v>
      </c>
      <c r="K31" s="80">
        <v>99890.79</v>
      </c>
      <c r="L31" s="80">
        <v>0</v>
      </c>
      <c r="M31" s="80">
        <v>0</v>
      </c>
      <c r="N31" s="80">
        <v>1939.33</v>
      </c>
      <c r="O31" s="80">
        <v>97951.46</v>
      </c>
      <c r="P31" s="82">
        <f>BD_LUCRO[[#This Row],[Lucro Líq.]]/BD_LUCRO[[#This Row],[Sacas/Ton]]</f>
        <v>25.25389996562393</v>
      </c>
    </row>
    <row r="32" spans="1:16" x14ac:dyDescent="0.25">
      <c r="A32" s="76" t="s">
        <v>51</v>
      </c>
      <c r="B32" s="77">
        <v>2025</v>
      </c>
      <c r="C32" s="78">
        <v>45748</v>
      </c>
      <c r="D32" s="90" t="s">
        <v>153</v>
      </c>
      <c r="E32" s="79" t="s">
        <v>154</v>
      </c>
      <c r="F32" s="79" t="s">
        <v>155</v>
      </c>
      <c r="G32" s="90" t="s">
        <v>156</v>
      </c>
      <c r="H32" s="80" t="s">
        <v>33</v>
      </c>
      <c r="I32" s="81">
        <v>147100</v>
      </c>
      <c r="J32" s="81">
        <f t="shared" si="0"/>
        <v>2451.6666666666665</v>
      </c>
      <c r="K32" s="80">
        <v>4250.9399999999996</v>
      </c>
      <c r="L32" s="80">
        <v>0</v>
      </c>
      <c r="M32" s="80">
        <v>0</v>
      </c>
      <c r="N32" s="80">
        <v>2451.67</v>
      </c>
      <c r="O32" s="80">
        <v>1799.28</v>
      </c>
      <c r="P32" s="82">
        <f>BD_LUCRO[[#This Row],[Lucro Líq.]]/BD_LUCRO[[#This Row],[Sacas/Ton]]</f>
        <v>0.73390074779061865</v>
      </c>
    </row>
    <row r="33" spans="1:16" x14ac:dyDescent="0.25">
      <c r="A33" s="76" t="s">
        <v>51</v>
      </c>
      <c r="B33" s="77">
        <v>2025</v>
      </c>
      <c r="C33" s="78">
        <v>45748</v>
      </c>
      <c r="D33" s="90" t="s">
        <v>161</v>
      </c>
      <c r="E33" s="79" t="s">
        <v>154</v>
      </c>
      <c r="F33" s="79" t="s">
        <v>155</v>
      </c>
      <c r="G33" s="90" t="s">
        <v>156</v>
      </c>
      <c r="H33" s="80" t="s">
        <v>33</v>
      </c>
      <c r="I33" s="81">
        <v>424230</v>
      </c>
      <c r="J33" s="81">
        <f t="shared" si="0"/>
        <v>7070.5</v>
      </c>
      <c r="K33" s="80">
        <v>97105.54</v>
      </c>
      <c r="L33" s="80">
        <v>0</v>
      </c>
      <c r="M33" s="80">
        <v>0</v>
      </c>
      <c r="N33" s="80">
        <v>59995.69</v>
      </c>
      <c r="O33" s="80">
        <v>37109.85</v>
      </c>
      <c r="P33" s="82">
        <f>BD_LUCRO[[#This Row],[Lucro Líq.]]/BD_LUCRO[[#This Row],[Sacas/Ton]]</f>
        <v>5.2485467788699527</v>
      </c>
    </row>
    <row r="34" spans="1:16" x14ac:dyDescent="0.25">
      <c r="A34" s="76" t="s">
        <v>51</v>
      </c>
      <c r="B34" s="77">
        <v>2025</v>
      </c>
      <c r="C34" s="78">
        <v>45748</v>
      </c>
      <c r="D34" s="90" t="s">
        <v>162</v>
      </c>
      <c r="E34" s="79" t="s">
        <v>163</v>
      </c>
      <c r="F34" s="79" t="s">
        <v>125</v>
      </c>
      <c r="G34" s="90" t="s">
        <v>126</v>
      </c>
      <c r="H34" s="80" t="s">
        <v>33</v>
      </c>
      <c r="I34" s="81">
        <v>1200000</v>
      </c>
      <c r="J34" s="81">
        <f t="shared" si="0"/>
        <v>20000</v>
      </c>
      <c r="K34" s="80">
        <v>323425.42</v>
      </c>
      <c r="L34" s="80">
        <v>249279.58</v>
      </c>
      <c r="M34" s="80">
        <v>0</v>
      </c>
      <c r="N34" s="80">
        <v>26126</v>
      </c>
      <c r="O34" s="80">
        <v>48019.83</v>
      </c>
      <c r="P34" s="82">
        <f>BD_LUCRO[[#This Row],[Lucro Líq.]]/BD_LUCRO[[#This Row],[Sacas/Ton]]</f>
        <v>2.4009914999999999</v>
      </c>
    </row>
    <row r="35" spans="1:16" x14ac:dyDescent="0.25">
      <c r="A35" s="76" t="s">
        <v>51</v>
      </c>
      <c r="B35" s="77">
        <v>2025</v>
      </c>
      <c r="C35" s="78">
        <v>45748</v>
      </c>
      <c r="D35" s="90" t="s">
        <v>162</v>
      </c>
      <c r="E35" s="79" t="s">
        <v>164</v>
      </c>
      <c r="F35" s="79" t="s">
        <v>165</v>
      </c>
      <c r="G35" s="90" t="s">
        <v>126</v>
      </c>
      <c r="H35" s="80" t="s">
        <v>33</v>
      </c>
      <c r="I35" s="81">
        <v>668190</v>
      </c>
      <c r="J35" s="81">
        <f t="shared" si="0"/>
        <v>11136.5</v>
      </c>
      <c r="K35" s="80">
        <v>210327.67</v>
      </c>
      <c r="L35" s="80">
        <v>173729.4</v>
      </c>
      <c r="M35" s="80">
        <v>0</v>
      </c>
      <c r="N35" s="80">
        <v>8979.36</v>
      </c>
      <c r="O35" s="80">
        <v>27618.91</v>
      </c>
      <c r="P35" s="82">
        <f>BD_LUCRO[[#This Row],[Lucro Líq.]]/BD_LUCRO[[#This Row],[Sacas/Ton]]</f>
        <v>2.4800350199793471</v>
      </c>
    </row>
    <row r="36" spans="1:16" x14ac:dyDescent="0.25">
      <c r="A36" s="76" t="s">
        <v>51</v>
      </c>
      <c r="B36" s="77">
        <v>2025</v>
      </c>
      <c r="C36" s="78">
        <v>45778</v>
      </c>
      <c r="D36" s="90" t="s">
        <v>167</v>
      </c>
      <c r="E36" s="79" t="s">
        <v>124</v>
      </c>
      <c r="F36" s="79" t="s">
        <v>125</v>
      </c>
      <c r="G36" s="90" t="s">
        <v>168</v>
      </c>
      <c r="H36" s="80" t="s">
        <v>33</v>
      </c>
      <c r="I36" s="81">
        <v>21230</v>
      </c>
      <c r="J36" s="81">
        <f t="shared" si="0"/>
        <v>353.83333333333331</v>
      </c>
      <c r="K36" s="80">
        <v>5130.58</v>
      </c>
      <c r="L36" s="80">
        <v>6262.85</v>
      </c>
      <c r="M36" s="80">
        <v>0</v>
      </c>
      <c r="N36" s="80">
        <v>215.84</v>
      </c>
      <c r="O36" s="80">
        <v>-1348.1</v>
      </c>
      <c r="P36" s="82">
        <f>BD_LUCRO[[#This Row],[Lucro Líq.]]/BD_LUCRO[[#This Row],[Sacas/Ton]]</f>
        <v>-3.8099858690532264</v>
      </c>
    </row>
    <row r="37" spans="1:16" x14ac:dyDescent="0.25">
      <c r="A37" s="76" t="s">
        <v>51</v>
      </c>
      <c r="B37" s="77">
        <v>2025</v>
      </c>
      <c r="C37" s="78">
        <v>45778</v>
      </c>
      <c r="D37" s="90" t="s">
        <v>167</v>
      </c>
      <c r="E37" s="79" t="s">
        <v>164</v>
      </c>
      <c r="F37" s="79" t="s">
        <v>165</v>
      </c>
      <c r="G37" s="90" t="s">
        <v>168</v>
      </c>
      <c r="H37" s="80" t="s">
        <v>33</v>
      </c>
      <c r="I37" s="81">
        <v>531810</v>
      </c>
      <c r="J37" s="81">
        <f t="shared" si="0"/>
        <v>8863.5</v>
      </c>
      <c r="K37" s="80">
        <v>165099</v>
      </c>
      <c r="L37" s="80">
        <v>144629.10999999999</v>
      </c>
      <c r="M37" s="80">
        <v>0</v>
      </c>
      <c r="N37" s="80">
        <v>7179.44</v>
      </c>
      <c r="O37" s="80">
        <v>13290.45</v>
      </c>
      <c r="P37" s="82">
        <f>BD_LUCRO[[#This Row],[Lucro Líq.]]/BD_LUCRO[[#This Row],[Sacas/Ton]]</f>
        <v>1.4994584532069726</v>
      </c>
    </row>
    <row r="38" spans="1:16" x14ac:dyDescent="0.25">
      <c r="A38" s="76" t="s">
        <v>51</v>
      </c>
      <c r="B38" s="77">
        <v>2025</v>
      </c>
      <c r="C38" s="78">
        <v>45778</v>
      </c>
      <c r="D38" s="90" t="s">
        <v>169</v>
      </c>
      <c r="E38" s="79" t="s">
        <v>140</v>
      </c>
      <c r="F38" s="79" t="s">
        <v>52</v>
      </c>
      <c r="G38" s="90" t="s">
        <v>52</v>
      </c>
      <c r="H38" s="80" t="s">
        <v>33</v>
      </c>
      <c r="I38" s="81">
        <v>939870</v>
      </c>
      <c r="J38" s="81">
        <f t="shared" si="0"/>
        <v>15664.5</v>
      </c>
      <c r="K38" s="80">
        <v>511586.91</v>
      </c>
      <c r="L38" s="80">
        <v>0</v>
      </c>
      <c r="M38" s="80">
        <v>0</v>
      </c>
      <c r="N38" s="80">
        <v>7832.25</v>
      </c>
      <c r="O38" s="80">
        <v>503754.66</v>
      </c>
      <c r="P38" s="82">
        <f>BD_LUCRO[[#This Row],[Lucro Líq.]]/BD_LUCRO[[#This Row],[Sacas/Ton]]</f>
        <v>32.15900028727377</v>
      </c>
    </row>
    <row r="39" spans="1:16" x14ac:dyDescent="0.25">
      <c r="A39" s="76" t="s">
        <v>51</v>
      </c>
      <c r="B39" s="77">
        <v>2025</v>
      </c>
      <c r="C39" s="78">
        <v>45778</v>
      </c>
      <c r="D39" s="90" t="s">
        <v>169</v>
      </c>
      <c r="E39" s="79" t="s">
        <v>170</v>
      </c>
      <c r="F39" s="79" t="s">
        <v>52</v>
      </c>
      <c r="G39" s="90" t="s">
        <v>52</v>
      </c>
      <c r="H39" s="80" t="s">
        <v>33</v>
      </c>
      <c r="I39" s="81">
        <v>66650</v>
      </c>
      <c r="J39" s="81">
        <f t="shared" si="0"/>
        <v>1110.8333333333333</v>
      </c>
      <c r="K39" s="80">
        <v>19591.21</v>
      </c>
      <c r="L39" s="80">
        <v>0</v>
      </c>
      <c r="M39" s="80">
        <v>0</v>
      </c>
      <c r="N39" s="80">
        <v>0</v>
      </c>
      <c r="O39" s="80">
        <v>19591.21</v>
      </c>
      <c r="P39" s="82">
        <f>BD_LUCRO[[#This Row],[Lucro Líq.]]/BD_LUCRO[[#This Row],[Sacas/Ton]]</f>
        <v>17.636498124531133</v>
      </c>
    </row>
    <row r="40" spans="1:16" x14ac:dyDescent="0.25">
      <c r="A40" s="76" t="s">
        <v>51</v>
      </c>
      <c r="B40" s="77">
        <v>2025</v>
      </c>
      <c r="C40" s="78">
        <v>45778</v>
      </c>
      <c r="D40" s="90" t="s">
        <v>169</v>
      </c>
      <c r="E40" s="79" t="s">
        <v>171</v>
      </c>
      <c r="F40" s="79" t="s">
        <v>52</v>
      </c>
      <c r="G40" s="90" t="s">
        <v>52</v>
      </c>
      <c r="H40" s="80" t="s">
        <v>33</v>
      </c>
      <c r="I40" s="81">
        <v>193480</v>
      </c>
      <c r="J40" s="81">
        <f t="shared" si="0"/>
        <v>3224.6666666666665</v>
      </c>
      <c r="K40" s="80">
        <v>0</v>
      </c>
      <c r="L40" s="80">
        <v>0</v>
      </c>
      <c r="M40" s="80">
        <v>0</v>
      </c>
      <c r="N40" s="80">
        <v>0</v>
      </c>
      <c r="O40" s="80">
        <v>0</v>
      </c>
      <c r="P40" s="82">
        <f>BD_LUCRO[[#This Row],[Lucro Líq.]]/BD_LUCRO[[#This Row],[Sacas/Ton]]</f>
        <v>0</v>
      </c>
    </row>
    <row r="41" spans="1:16" x14ac:dyDescent="0.25">
      <c r="A41" s="76" t="s">
        <v>51</v>
      </c>
      <c r="B41" s="77">
        <v>2025</v>
      </c>
      <c r="C41" s="78">
        <v>45809</v>
      </c>
      <c r="D41" s="90" t="s">
        <v>92</v>
      </c>
      <c r="E41" s="79" t="s">
        <v>172</v>
      </c>
      <c r="F41" s="79" t="s">
        <v>137</v>
      </c>
      <c r="G41" s="90" t="s">
        <v>92</v>
      </c>
      <c r="H41" s="80" t="s">
        <v>173</v>
      </c>
      <c r="I41" s="81">
        <v>415540</v>
      </c>
      <c r="J41" s="81">
        <f t="shared" si="0"/>
        <v>6925.666666666667</v>
      </c>
      <c r="K41" s="80">
        <v>0</v>
      </c>
      <c r="L41" s="80">
        <v>102024.6</v>
      </c>
      <c r="M41" s="80">
        <v>0</v>
      </c>
      <c r="N41" s="80">
        <v>0</v>
      </c>
      <c r="O41" s="80">
        <v>0</v>
      </c>
      <c r="P41" s="82">
        <f>BD_LUCRO[[#This Row],[Lucro Líq.]]/BD_LUCRO[[#This Row],[Sacas/Ton]]</f>
        <v>0</v>
      </c>
    </row>
    <row r="42" spans="1:16" x14ac:dyDescent="0.25">
      <c r="A42" s="76" t="s">
        <v>51</v>
      </c>
      <c r="B42" s="77">
        <v>2025</v>
      </c>
      <c r="C42" s="78">
        <v>45809</v>
      </c>
      <c r="D42" s="90" t="s">
        <v>92</v>
      </c>
      <c r="E42" s="79" t="s">
        <v>174</v>
      </c>
      <c r="F42" s="79" t="s">
        <v>175</v>
      </c>
      <c r="G42" s="90" t="s">
        <v>92</v>
      </c>
      <c r="H42" s="80" t="s">
        <v>176</v>
      </c>
      <c r="I42" s="81">
        <v>25000</v>
      </c>
      <c r="J42" s="81">
        <f t="shared" si="0"/>
        <v>416.66666666666669</v>
      </c>
      <c r="K42" s="80">
        <v>0</v>
      </c>
      <c r="L42" s="80">
        <v>5000</v>
      </c>
      <c r="M42" s="80">
        <v>0</v>
      </c>
      <c r="N42" s="80">
        <v>1250</v>
      </c>
      <c r="O42" s="80">
        <v>0</v>
      </c>
      <c r="P42" s="82">
        <f>BD_LUCRO[[#This Row],[Lucro Líq.]]/BD_LUCRO[[#This Row],[Sacas/Ton]]</f>
        <v>0</v>
      </c>
    </row>
    <row r="43" spans="1:16" x14ac:dyDescent="0.25">
      <c r="A43" s="76" t="s">
        <v>51</v>
      </c>
      <c r="B43" s="77">
        <v>2025</v>
      </c>
      <c r="C43" s="78">
        <v>45809</v>
      </c>
      <c r="D43" s="90" t="s">
        <v>177</v>
      </c>
      <c r="E43" s="79" t="s">
        <v>178</v>
      </c>
      <c r="F43" s="79" t="s">
        <v>52</v>
      </c>
      <c r="G43" s="90" t="s">
        <v>156</v>
      </c>
      <c r="H43" s="80" t="s">
        <v>179</v>
      </c>
      <c r="I43" s="81">
        <v>548850</v>
      </c>
      <c r="J43" s="81">
        <f t="shared" si="0"/>
        <v>9147.5</v>
      </c>
      <c r="K43" s="80">
        <v>0</v>
      </c>
      <c r="L43" s="80">
        <v>0</v>
      </c>
      <c r="M43" s="80">
        <v>0</v>
      </c>
      <c r="N43" s="80">
        <v>0</v>
      </c>
      <c r="O43" s="80">
        <v>0</v>
      </c>
      <c r="P43" s="82">
        <f>BD_LUCRO[[#This Row],[Lucro Líq.]]/BD_LUCRO[[#This Row],[Sacas/Ton]]</f>
        <v>0</v>
      </c>
    </row>
    <row r="44" spans="1:16" x14ac:dyDescent="0.25">
      <c r="A44" s="76" t="s">
        <v>51</v>
      </c>
      <c r="B44" s="77">
        <v>2025</v>
      </c>
      <c r="C44" s="78">
        <v>45870</v>
      </c>
      <c r="D44" s="90" t="s">
        <v>183</v>
      </c>
      <c r="E44" s="79" t="s">
        <v>92</v>
      </c>
      <c r="F44" s="79" t="s">
        <v>92</v>
      </c>
      <c r="G44" s="90" t="s">
        <v>156</v>
      </c>
      <c r="H44" s="80" t="s">
        <v>173</v>
      </c>
      <c r="I44" s="81">
        <v>289040</v>
      </c>
      <c r="J44" s="81">
        <f t="shared" si="0"/>
        <v>4817.333333333333</v>
      </c>
      <c r="K44" s="80">
        <v>0</v>
      </c>
      <c r="L44" s="80">
        <v>0</v>
      </c>
      <c r="M44" s="80">
        <v>0</v>
      </c>
      <c r="N44" s="80">
        <v>0</v>
      </c>
      <c r="O44" s="80">
        <v>102155.89</v>
      </c>
      <c r="P44" s="82">
        <f>BD_LUCRO[[#This Row],[Lucro Líq.]]/BD_LUCRO[[#This Row],[Sacas/Ton]]</f>
        <v>21.205900221422642</v>
      </c>
    </row>
    <row r="45" spans="1:16" x14ac:dyDescent="0.25">
      <c r="A45" s="76" t="s">
        <v>51</v>
      </c>
      <c r="B45" s="77">
        <v>2025</v>
      </c>
      <c r="C45" s="78">
        <v>45870</v>
      </c>
      <c r="D45" s="90" t="s">
        <v>184</v>
      </c>
      <c r="E45" s="79" t="s">
        <v>92</v>
      </c>
      <c r="F45" s="79" t="s">
        <v>92</v>
      </c>
      <c r="G45" s="90" t="s">
        <v>185</v>
      </c>
      <c r="H45" s="80" t="s">
        <v>173</v>
      </c>
      <c r="I45" s="81">
        <v>109362</v>
      </c>
      <c r="J45" s="81">
        <f t="shared" si="0"/>
        <v>1822.7</v>
      </c>
      <c r="K45" s="80">
        <v>0</v>
      </c>
      <c r="L45" s="80">
        <v>0</v>
      </c>
      <c r="M45" s="80">
        <v>0</v>
      </c>
      <c r="N45" s="80">
        <v>0</v>
      </c>
      <c r="O45" s="80">
        <v>-111380.28</v>
      </c>
      <c r="P45" s="82">
        <f>BD_LUCRO[[#This Row],[Lucro Líq.]]/BD_LUCRO[[#This Row],[Sacas/Ton]]</f>
        <v>-61.107302353651171</v>
      </c>
    </row>
    <row r="46" spans="1:16" x14ac:dyDescent="0.25">
      <c r="A46" s="76" t="s">
        <v>51</v>
      </c>
      <c r="B46" s="77">
        <v>2025</v>
      </c>
      <c r="C46" s="78">
        <v>45870</v>
      </c>
      <c r="D46" s="90" t="s">
        <v>186</v>
      </c>
      <c r="E46" s="79" t="s">
        <v>187</v>
      </c>
      <c r="F46" s="79" t="s">
        <v>188</v>
      </c>
      <c r="G46" s="90" t="s">
        <v>189</v>
      </c>
      <c r="H46" s="80" t="s">
        <v>190</v>
      </c>
      <c r="I46" s="81">
        <v>88820</v>
      </c>
      <c r="J46" s="81">
        <f t="shared" si="0"/>
        <v>1480.3333333333333</v>
      </c>
      <c r="K46" s="80">
        <v>17764</v>
      </c>
      <c r="L46" s="80">
        <v>0</v>
      </c>
      <c r="M46" s="80">
        <v>0</v>
      </c>
      <c r="N46" s="80">
        <v>4051.2</v>
      </c>
      <c r="O46" s="80">
        <v>13712.8</v>
      </c>
      <c r="P46" s="82">
        <f>BD_LUCRO[[#This Row],[Lucro Líq.]]/BD_LUCRO[[#This Row],[Sacas/Ton]]</f>
        <v>9.2633190722810177</v>
      </c>
    </row>
    <row r="47" spans="1:16" x14ac:dyDescent="0.25">
      <c r="A47" s="76" t="s">
        <v>51</v>
      </c>
      <c r="B47" s="77">
        <v>2025</v>
      </c>
      <c r="C47" s="78">
        <v>45901</v>
      </c>
      <c r="D47" s="90" t="s">
        <v>195</v>
      </c>
      <c r="E47" s="79" t="s">
        <v>196</v>
      </c>
      <c r="F47" s="79" t="s">
        <v>197</v>
      </c>
      <c r="G47" s="90" t="s">
        <v>156</v>
      </c>
      <c r="H47" s="80" t="s">
        <v>33</v>
      </c>
      <c r="I47" s="81">
        <v>479950</v>
      </c>
      <c r="J47" s="81">
        <f t="shared" si="0"/>
        <v>7999.166666666667</v>
      </c>
      <c r="K47" s="80">
        <v>-39995.83</v>
      </c>
      <c r="L47" s="80">
        <v>0</v>
      </c>
      <c r="M47" s="80">
        <v>0</v>
      </c>
      <c r="N47" s="80">
        <v>0</v>
      </c>
      <c r="O47" s="80">
        <v>-39995.83</v>
      </c>
      <c r="P47" s="82">
        <f>BD_LUCRO[[#This Row],[Lucro Líq.]]/BD_LUCRO[[#This Row],[Sacas/Ton]]</f>
        <v>-4.9999995832899264</v>
      </c>
    </row>
    <row r="48" spans="1:16" x14ac:dyDescent="0.25">
      <c r="A48" s="76" t="s">
        <v>51</v>
      </c>
      <c r="B48" s="77">
        <v>2025</v>
      </c>
      <c r="C48" s="78">
        <v>45931</v>
      </c>
      <c r="D48" s="90" t="s">
        <v>200</v>
      </c>
      <c r="E48" s="79" t="s">
        <v>201</v>
      </c>
      <c r="F48" s="79" t="s">
        <v>197</v>
      </c>
      <c r="G48" s="90" t="s">
        <v>202</v>
      </c>
      <c r="H48" s="80" t="s">
        <v>33</v>
      </c>
      <c r="I48" s="81">
        <v>240940</v>
      </c>
      <c r="J48" s="81">
        <f t="shared" si="0"/>
        <v>4015.6666666666665</v>
      </c>
      <c r="K48" s="80">
        <v>20078.330000000002</v>
      </c>
      <c r="L48" s="80">
        <v>0</v>
      </c>
      <c r="M48" s="80">
        <v>0</v>
      </c>
      <c r="N48" s="80">
        <v>0</v>
      </c>
      <c r="O48" s="80">
        <v>20078.330000000002</v>
      </c>
      <c r="P48" s="82">
        <f>BD_LUCRO[[#This Row],[Lucro Líq.]]/BD_LUCRO[[#This Row],[Sacas/Ton]]</f>
        <v>4.9999991699178228</v>
      </c>
    </row>
    <row r="49" spans="1:16" x14ac:dyDescent="0.25">
      <c r="A49" s="76" t="s">
        <v>51</v>
      </c>
      <c r="B49" s="77">
        <v>2025</v>
      </c>
      <c r="C49" s="78">
        <v>45931</v>
      </c>
      <c r="D49" s="90" t="s">
        <v>203</v>
      </c>
      <c r="E49" s="79" t="s">
        <v>201</v>
      </c>
      <c r="F49" s="79" t="s">
        <v>197</v>
      </c>
      <c r="G49" s="90" t="s">
        <v>202</v>
      </c>
      <c r="H49" s="80" t="s">
        <v>33</v>
      </c>
      <c r="I49" s="81">
        <v>252000</v>
      </c>
      <c r="J49" s="81">
        <f t="shared" si="0"/>
        <v>4200</v>
      </c>
      <c r="K49" s="80">
        <v>21000</v>
      </c>
      <c r="L49" s="80">
        <v>0</v>
      </c>
      <c r="M49" s="80">
        <v>0</v>
      </c>
      <c r="N49" s="80">
        <v>0</v>
      </c>
      <c r="O49" s="80">
        <v>21000</v>
      </c>
      <c r="P49" s="82">
        <f>BD_LUCRO[[#This Row],[Lucro Líq.]]/BD_LUCRO[[#This Row],[Sacas/Ton]]</f>
        <v>5</v>
      </c>
    </row>
    <row r="50" spans="1:16" x14ac:dyDescent="0.25">
      <c r="A50" s="76" t="s">
        <v>51</v>
      </c>
      <c r="B50" s="77">
        <v>2025</v>
      </c>
      <c r="C50" s="78">
        <v>45931</v>
      </c>
      <c r="D50" s="90" t="s">
        <v>204</v>
      </c>
      <c r="E50" s="79" t="s">
        <v>205</v>
      </c>
      <c r="F50" s="79" t="s">
        <v>206</v>
      </c>
      <c r="G50" s="90" t="s">
        <v>156</v>
      </c>
      <c r="H50" s="80" t="s">
        <v>207</v>
      </c>
      <c r="I50" s="81">
        <v>180560</v>
      </c>
      <c r="J50" s="81">
        <f t="shared" si="0"/>
        <v>3009.3333333333335</v>
      </c>
      <c r="K50" s="80">
        <v>12639.2</v>
      </c>
      <c r="L50" s="80">
        <v>0</v>
      </c>
      <c r="M50" s="80">
        <v>0</v>
      </c>
      <c r="N50" s="80">
        <v>0</v>
      </c>
      <c r="O50" s="80">
        <v>12639.2</v>
      </c>
      <c r="P50" s="82">
        <f>BD_LUCRO[[#This Row],[Lucro Líq.]]/BD_LUCRO[[#This Row],[Sacas/Ton]]</f>
        <v>4.2</v>
      </c>
    </row>
    <row r="51" spans="1:16" x14ac:dyDescent="0.25">
      <c r="A51" s="76" t="s">
        <v>51</v>
      </c>
      <c r="B51" s="77">
        <v>2025</v>
      </c>
      <c r="C51" s="78">
        <v>45962</v>
      </c>
      <c r="D51" s="90" t="s">
        <v>204</v>
      </c>
      <c r="E51" s="79" t="s">
        <v>205</v>
      </c>
      <c r="F51" s="79" t="s">
        <v>206</v>
      </c>
      <c r="G51" s="90" t="s">
        <v>156</v>
      </c>
      <c r="H51" s="80" t="s">
        <v>207</v>
      </c>
      <c r="I51" s="81">
        <v>319440</v>
      </c>
      <c r="J51" s="81">
        <f t="shared" si="0"/>
        <v>5324</v>
      </c>
      <c r="K51" s="80">
        <v>22360.799999999999</v>
      </c>
      <c r="L51" s="80">
        <v>0</v>
      </c>
      <c r="M51" s="80">
        <v>0</v>
      </c>
      <c r="N51" s="80">
        <v>0</v>
      </c>
      <c r="O51" s="80">
        <v>22360.799999999999</v>
      </c>
      <c r="P51" s="82">
        <f>BD_LUCRO[[#This Row],[Lucro Líq.]]/BD_LUCRO[[#This Row],[Sacas/Ton]]</f>
        <v>4.2</v>
      </c>
    </row>
    <row r="52" spans="1:16" x14ac:dyDescent="0.25">
      <c r="A52" s="76" t="s">
        <v>51</v>
      </c>
      <c r="B52" s="77">
        <v>2025</v>
      </c>
      <c r="C52" s="78">
        <v>45962</v>
      </c>
      <c r="D52" s="90" t="s">
        <v>208</v>
      </c>
      <c r="E52" s="79" t="s">
        <v>209</v>
      </c>
      <c r="F52" s="79" t="s">
        <v>52</v>
      </c>
      <c r="G52" s="90" t="s">
        <v>52</v>
      </c>
      <c r="H52" s="80" t="s">
        <v>210</v>
      </c>
      <c r="I52" s="81">
        <v>900000</v>
      </c>
      <c r="J52" s="81">
        <f t="shared" si="0"/>
        <v>15000</v>
      </c>
      <c r="K52" s="80">
        <v>0</v>
      </c>
      <c r="L52" s="80">
        <v>0</v>
      </c>
      <c r="M52" s="80">
        <v>0</v>
      </c>
      <c r="N52" s="80">
        <v>0</v>
      </c>
      <c r="O52" s="80">
        <v>0</v>
      </c>
      <c r="P52" s="82">
        <f>BD_LUCRO[[#This Row],[Lucro Líq.]]/BD_LUCRO[[#This Row],[Sacas/Ton]]</f>
        <v>0</v>
      </c>
    </row>
    <row r="53" spans="1:16" x14ac:dyDescent="0.25">
      <c r="A53" s="97" t="s">
        <v>216</v>
      </c>
      <c r="B53" s="77">
        <v>2025</v>
      </c>
      <c r="C53" s="78">
        <v>45658</v>
      </c>
      <c r="D53" s="90" t="s">
        <v>211</v>
      </c>
      <c r="E53" s="79" t="s">
        <v>212</v>
      </c>
      <c r="F53" s="79" t="s">
        <v>213</v>
      </c>
      <c r="G53" s="90" t="s">
        <v>214</v>
      </c>
      <c r="H53" s="80" t="s">
        <v>215</v>
      </c>
      <c r="I53" s="81">
        <v>133260</v>
      </c>
      <c r="J53" s="81">
        <f t="shared" si="0"/>
        <v>2221</v>
      </c>
      <c r="K53" s="80">
        <v>63863.51</v>
      </c>
      <c r="L53" s="80">
        <v>37076.839999999997</v>
      </c>
      <c r="M53" s="80">
        <v>3518.06</v>
      </c>
      <c r="N53" s="80">
        <v>666.3</v>
      </c>
      <c r="O53" s="80">
        <v>22602.31</v>
      </c>
      <c r="P53" s="82">
        <f>BD_LUCRO[[#This Row],[Lucro Líq.]]/BD_LUCRO[[#This Row],[Sacas/Ton]]</f>
        <v>10.176636650157587</v>
      </c>
    </row>
    <row r="54" spans="1:16" x14ac:dyDescent="0.25">
      <c r="A54" s="97" t="s">
        <v>216</v>
      </c>
      <c r="B54" s="77">
        <v>2025</v>
      </c>
      <c r="C54" s="101">
        <v>45689</v>
      </c>
      <c r="D54" s="90" t="s">
        <v>92</v>
      </c>
      <c r="E54" s="79" t="s">
        <v>227</v>
      </c>
      <c r="F54" s="79" t="s">
        <v>228</v>
      </c>
      <c r="G54" s="90" t="s">
        <v>92</v>
      </c>
      <c r="H54" s="80" t="s">
        <v>179</v>
      </c>
      <c r="I54" s="81">
        <v>5540</v>
      </c>
      <c r="J54" s="81">
        <f t="shared" si="0"/>
        <v>92.333333333333329</v>
      </c>
      <c r="K54" s="80">
        <v>0</v>
      </c>
      <c r="L54" s="80">
        <v>0</v>
      </c>
      <c r="M54" s="80">
        <v>0</v>
      </c>
      <c r="N54" s="80">
        <v>0</v>
      </c>
      <c r="O54" s="80">
        <v>0</v>
      </c>
      <c r="P54" s="82">
        <f>BD_LUCRO[[#This Row],[Lucro Líq.]]/BD_LUCRO[[#This Row],[Sacas/Ton]]</f>
        <v>0</v>
      </c>
    </row>
    <row r="55" spans="1:16" x14ac:dyDescent="0.25">
      <c r="A55" s="97" t="s">
        <v>216</v>
      </c>
      <c r="B55" s="77">
        <v>2025</v>
      </c>
      <c r="C55" s="101">
        <v>45689</v>
      </c>
      <c r="D55" s="90" t="s">
        <v>229</v>
      </c>
      <c r="E55" s="90" t="s">
        <v>92</v>
      </c>
      <c r="F55" s="90" t="s">
        <v>92</v>
      </c>
      <c r="G55" s="90" t="s">
        <v>228</v>
      </c>
      <c r="H55" s="80" t="s">
        <v>230</v>
      </c>
      <c r="I55" s="102">
        <v>2380</v>
      </c>
      <c r="J55" s="102">
        <f t="shared" si="0"/>
        <v>39.666666666666664</v>
      </c>
      <c r="K55" s="80">
        <v>0</v>
      </c>
      <c r="L55" s="80">
        <v>0</v>
      </c>
      <c r="M55" s="80">
        <v>404.6</v>
      </c>
      <c r="N55" s="80">
        <v>0</v>
      </c>
      <c r="O55" s="80">
        <v>-15564.04</v>
      </c>
      <c r="P55" s="82">
        <f>BD_LUCRO[[#This Row],[Lucro Líq.]]/BD_LUCRO[[#This Row],[Sacas/Ton]]</f>
        <v>-392.37075630252104</v>
      </c>
    </row>
    <row r="56" spans="1:16" x14ac:dyDescent="0.25">
      <c r="A56" s="97" t="s">
        <v>216</v>
      </c>
      <c r="B56" s="77">
        <v>2025</v>
      </c>
      <c r="C56" s="78">
        <v>45717</v>
      </c>
      <c r="D56" s="90" t="s">
        <v>234</v>
      </c>
      <c r="E56" s="79" t="s">
        <v>235</v>
      </c>
      <c r="F56" s="79" t="s">
        <v>236</v>
      </c>
      <c r="G56" s="90" t="s">
        <v>48</v>
      </c>
      <c r="H56" s="80" t="s">
        <v>33</v>
      </c>
      <c r="I56" s="81">
        <v>360000</v>
      </c>
      <c r="J56" s="81">
        <f t="shared" si="0"/>
        <v>6000</v>
      </c>
      <c r="K56" s="80">
        <v>14400</v>
      </c>
      <c r="L56" s="80">
        <v>0</v>
      </c>
      <c r="M56" s="80">
        <v>0</v>
      </c>
      <c r="N56" s="80">
        <v>2400</v>
      </c>
      <c r="O56" s="80">
        <v>12000</v>
      </c>
      <c r="P56" s="82">
        <f>BD_LUCRO[[#This Row],[Lucro Líq.]]/BD_LUCRO[[#This Row],[Sacas/Ton]]</f>
        <v>2</v>
      </c>
    </row>
    <row r="57" spans="1:16" x14ac:dyDescent="0.25">
      <c r="A57" s="97" t="s">
        <v>216</v>
      </c>
      <c r="B57" s="77">
        <v>2025</v>
      </c>
      <c r="C57" s="78">
        <v>45717</v>
      </c>
      <c r="D57" s="90" t="s">
        <v>237</v>
      </c>
      <c r="E57" s="79" t="s">
        <v>238</v>
      </c>
      <c r="F57" s="79" t="s">
        <v>239</v>
      </c>
      <c r="G57" s="90" t="s">
        <v>48</v>
      </c>
      <c r="H57" s="80" t="s">
        <v>33</v>
      </c>
      <c r="I57" s="81">
        <v>148670</v>
      </c>
      <c r="J57" s="81">
        <f t="shared" si="0"/>
        <v>2477.8333333333335</v>
      </c>
      <c r="K57" s="80">
        <v>54512.33</v>
      </c>
      <c r="L57" s="80">
        <v>0</v>
      </c>
      <c r="M57" s="80">
        <v>0</v>
      </c>
      <c r="N57" s="80">
        <v>0</v>
      </c>
      <c r="O57" s="80">
        <v>54512.33</v>
      </c>
      <c r="P57" s="82">
        <f>BD_LUCRO[[#This Row],[Lucro Líq.]]/BD_LUCRO[[#This Row],[Sacas/Ton]]</f>
        <v>21.999998654738683</v>
      </c>
    </row>
    <row r="58" spans="1:16" x14ac:dyDescent="0.25">
      <c r="A58" s="97" t="s">
        <v>216</v>
      </c>
      <c r="B58" s="77">
        <v>2025</v>
      </c>
      <c r="C58" s="78">
        <v>45717</v>
      </c>
      <c r="D58" s="90" t="s">
        <v>240</v>
      </c>
      <c r="E58" s="79" t="s">
        <v>241</v>
      </c>
      <c r="F58" s="79" t="s">
        <v>242</v>
      </c>
      <c r="G58" s="90" t="s">
        <v>243</v>
      </c>
      <c r="H58" s="80" t="s">
        <v>33</v>
      </c>
      <c r="I58" s="81">
        <v>828180</v>
      </c>
      <c r="J58" s="81">
        <f t="shared" si="0"/>
        <v>13803</v>
      </c>
      <c r="K58" s="80">
        <v>577262</v>
      </c>
      <c r="L58" s="80">
        <v>432839.6</v>
      </c>
      <c r="M58" s="80">
        <v>0</v>
      </c>
      <c r="N58" s="80">
        <v>27606</v>
      </c>
      <c r="O58" s="80">
        <v>114459.95</v>
      </c>
      <c r="P58" s="82">
        <f>BD_LUCRO[[#This Row],[Lucro Líq.]]/BD_LUCRO[[#This Row],[Sacas/Ton]]</f>
        <v>8.2923965804535236</v>
      </c>
    </row>
    <row r="59" spans="1:16" x14ac:dyDescent="0.25">
      <c r="A59" s="97" t="s">
        <v>216</v>
      </c>
      <c r="B59" s="77">
        <v>2025</v>
      </c>
      <c r="C59" s="78">
        <v>45748</v>
      </c>
      <c r="D59" s="90" t="s">
        <v>237</v>
      </c>
      <c r="E59" s="79" t="s">
        <v>238</v>
      </c>
      <c r="F59" s="79" t="s">
        <v>239</v>
      </c>
      <c r="G59" s="90" t="s">
        <v>48</v>
      </c>
      <c r="H59" s="80" t="s">
        <v>33</v>
      </c>
      <c r="I59" s="81">
        <v>147100</v>
      </c>
      <c r="J59" s="81">
        <f t="shared" si="0"/>
        <v>2451.6666666666665</v>
      </c>
      <c r="K59" s="80">
        <v>53936.67</v>
      </c>
      <c r="L59" s="80">
        <v>0</v>
      </c>
      <c r="M59" s="80">
        <v>0</v>
      </c>
      <c r="N59" s="80">
        <v>0</v>
      </c>
      <c r="O59" s="80">
        <v>53936.67</v>
      </c>
      <c r="P59" s="82">
        <f>BD_LUCRO[[#This Row],[Lucro Líq.]]/BD_LUCRO[[#This Row],[Sacas/Ton]]</f>
        <v>22.000001359619308</v>
      </c>
    </row>
    <row r="60" spans="1:16" x14ac:dyDescent="0.25">
      <c r="A60" s="97" t="s">
        <v>216</v>
      </c>
      <c r="B60" s="77">
        <v>2025</v>
      </c>
      <c r="C60" s="78">
        <v>45748</v>
      </c>
      <c r="D60" s="90" t="s">
        <v>237</v>
      </c>
      <c r="E60" s="79" t="s">
        <v>244</v>
      </c>
      <c r="F60" s="79" t="s">
        <v>239</v>
      </c>
      <c r="G60" s="90" t="s">
        <v>48</v>
      </c>
      <c r="H60" s="80" t="s">
        <v>33</v>
      </c>
      <c r="I60" s="81">
        <v>424230</v>
      </c>
      <c r="J60" s="81">
        <f t="shared" si="0"/>
        <v>7070.5</v>
      </c>
      <c r="K60" s="80">
        <v>70705</v>
      </c>
      <c r="L60" s="80">
        <v>0</v>
      </c>
      <c r="M60" s="80">
        <v>0</v>
      </c>
      <c r="N60" s="80">
        <v>0</v>
      </c>
      <c r="O60" s="80">
        <v>70705</v>
      </c>
      <c r="P60" s="82">
        <f>BD_LUCRO[[#This Row],[Lucro Líq.]]/BD_LUCRO[[#This Row],[Sacas/Ton]]</f>
        <v>10</v>
      </c>
    </row>
    <row r="61" spans="1:16" x14ac:dyDescent="0.25">
      <c r="A61" s="97" t="s">
        <v>216</v>
      </c>
      <c r="B61" s="77">
        <v>2025</v>
      </c>
      <c r="C61" s="78">
        <v>45748</v>
      </c>
      <c r="D61" s="90" t="s">
        <v>240</v>
      </c>
      <c r="E61" s="79" t="s">
        <v>241</v>
      </c>
      <c r="F61" s="79" t="s">
        <v>242</v>
      </c>
      <c r="G61" s="90" t="s">
        <v>243</v>
      </c>
      <c r="H61" s="80" t="s">
        <v>33</v>
      </c>
      <c r="I61" s="81">
        <v>372760</v>
      </c>
      <c r="J61" s="81">
        <f t="shared" si="0"/>
        <v>6212.666666666667</v>
      </c>
      <c r="K61" s="80">
        <v>261328</v>
      </c>
      <c r="L61" s="80">
        <v>196847.2</v>
      </c>
      <c r="M61" s="80">
        <v>0</v>
      </c>
      <c r="N61" s="80">
        <v>12425.33</v>
      </c>
      <c r="O61" s="80">
        <v>51350.58</v>
      </c>
      <c r="P61" s="82">
        <f>BD_LUCRO[[#This Row],[Lucro Líq.]]/BD_LUCRO[[#This Row],[Sacas/Ton]]</f>
        <v>8.2654651786672382</v>
      </c>
    </row>
    <row r="62" spans="1:16" x14ac:dyDescent="0.25">
      <c r="A62" s="97" t="s">
        <v>216</v>
      </c>
      <c r="B62" s="77">
        <v>2025</v>
      </c>
      <c r="C62" s="78">
        <v>45748</v>
      </c>
      <c r="D62" s="90" t="s">
        <v>245</v>
      </c>
      <c r="E62" s="79" t="s">
        <v>246</v>
      </c>
      <c r="F62" s="79" t="s">
        <v>242</v>
      </c>
      <c r="G62" s="90" t="s">
        <v>243</v>
      </c>
      <c r="H62" s="80" t="s">
        <v>33</v>
      </c>
      <c r="I62" s="81">
        <v>720000</v>
      </c>
      <c r="J62" s="81">
        <f t="shared" si="0"/>
        <v>12000</v>
      </c>
      <c r="K62" s="80">
        <v>84000</v>
      </c>
      <c r="L62" s="80">
        <v>0</v>
      </c>
      <c r="M62" s="80">
        <v>0</v>
      </c>
      <c r="N62" s="80">
        <v>17355.669999999998</v>
      </c>
      <c r="O62" s="80">
        <v>66644.33</v>
      </c>
      <c r="P62" s="82">
        <f>BD_LUCRO[[#This Row],[Lucro Líq.]]/BD_LUCRO[[#This Row],[Sacas/Ton]]</f>
        <v>5.5536941666666664</v>
      </c>
    </row>
    <row r="63" spans="1:16" x14ac:dyDescent="0.25">
      <c r="A63" s="97" t="s">
        <v>216</v>
      </c>
      <c r="B63" s="77">
        <v>2025</v>
      </c>
      <c r="C63" s="78">
        <v>45748</v>
      </c>
      <c r="D63" s="90" t="s">
        <v>247</v>
      </c>
      <c r="E63" s="79" t="s">
        <v>248</v>
      </c>
      <c r="F63" s="79" t="s">
        <v>249</v>
      </c>
      <c r="G63" s="90" t="s">
        <v>243</v>
      </c>
      <c r="H63" s="80" t="s">
        <v>33</v>
      </c>
      <c r="I63" s="81">
        <v>329820</v>
      </c>
      <c r="J63" s="81">
        <f t="shared" si="0"/>
        <v>5497</v>
      </c>
      <c r="K63" s="80">
        <v>52221.5</v>
      </c>
      <c r="L63" s="80">
        <v>0</v>
      </c>
      <c r="M63" s="80">
        <v>0</v>
      </c>
      <c r="N63" s="80">
        <v>10994</v>
      </c>
      <c r="O63" s="80">
        <v>41227.5</v>
      </c>
      <c r="P63" s="82">
        <f>BD_LUCRO[[#This Row],[Lucro Líq.]]/BD_LUCRO[[#This Row],[Sacas/Ton]]</f>
        <v>7.5</v>
      </c>
    </row>
    <row r="64" spans="1:16" x14ac:dyDescent="0.25">
      <c r="A64" s="97" t="s">
        <v>216</v>
      </c>
      <c r="B64" s="77">
        <v>2025</v>
      </c>
      <c r="C64" s="78">
        <v>45748</v>
      </c>
      <c r="D64" s="90" t="s">
        <v>250</v>
      </c>
      <c r="E64" s="79" t="s">
        <v>241</v>
      </c>
      <c r="F64" s="79" t="s">
        <v>242</v>
      </c>
      <c r="G64" s="90" t="s">
        <v>243</v>
      </c>
      <c r="H64" s="80" t="s">
        <v>33</v>
      </c>
      <c r="I64" s="81">
        <v>7640</v>
      </c>
      <c r="J64" s="81">
        <f t="shared" si="0"/>
        <v>127.33333333333333</v>
      </c>
      <c r="K64" s="80">
        <v>5475.33</v>
      </c>
      <c r="L64" s="80">
        <v>4049.2</v>
      </c>
      <c r="M64" s="80">
        <v>0</v>
      </c>
      <c r="N64" s="80">
        <v>127.33</v>
      </c>
      <c r="O64" s="80">
        <v>1298.8</v>
      </c>
      <c r="P64" s="82">
        <f>BD_LUCRO[[#This Row],[Lucro Líq.]]/BD_LUCRO[[#This Row],[Sacas/Ton]]</f>
        <v>10.199999999999999</v>
      </c>
    </row>
    <row r="65" spans="1:16" x14ac:dyDescent="0.25">
      <c r="A65" s="97" t="s">
        <v>216</v>
      </c>
      <c r="B65" s="77">
        <v>2025</v>
      </c>
      <c r="C65" s="78">
        <v>45778</v>
      </c>
      <c r="D65" s="90" t="s">
        <v>92</v>
      </c>
      <c r="E65" s="79" t="s">
        <v>252</v>
      </c>
      <c r="F65" s="79" t="s">
        <v>253</v>
      </c>
      <c r="G65" s="90" t="s">
        <v>92</v>
      </c>
      <c r="H65" s="80" t="s">
        <v>176</v>
      </c>
      <c r="I65" s="81">
        <v>100370</v>
      </c>
      <c r="J65" s="81">
        <f t="shared" si="0"/>
        <v>1672.8333333333333</v>
      </c>
      <c r="K65" s="80">
        <v>0</v>
      </c>
      <c r="L65" s="80">
        <v>21063</v>
      </c>
      <c r="M65" s="80">
        <v>0</v>
      </c>
      <c r="N65" s="80">
        <v>1672.83</v>
      </c>
      <c r="O65" s="80">
        <v>0</v>
      </c>
      <c r="P65" s="82">
        <f>BD_LUCRO[[#This Row],[Lucro Líq.]]/BD_LUCRO[[#This Row],[Sacas/Ton]]</f>
        <v>0</v>
      </c>
    </row>
    <row r="66" spans="1:16" x14ac:dyDescent="0.25">
      <c r="A66" s="97" t="s">
        <v>216</v>
      </c>
      <c r="B66" s="77">
        <v>2025</v>
      </c>
      <c r="C66" s="78">
        <v>45778</v>
      </c>
      <c r="D66" s="90" t="s">
        <v>92</v>
      </c>
      <c r="E66" s="79" t="s">
        <v>254</v>
      </c>
      <c r="F66" s="79" t="s">
        <v>255</v>
      </c>
      <c r="G66" s="90" t="s">
        <v>92</v>
      </c>
      <c r="H66" s="80" t="s">
        <v>230</v>
      </c>
      <c r="I66" s="81">
        <v>25240</v>
      </c>
      <c r="J66" s="81">
        <f t="shared" ref="J66:J129" si="1">I66/60</f>
        <v>420.66666666666669</v>
      </c>
      <c r="K66" s="80">
        <v>0</v>
      </c>
      <c r="L66" s="80">
        <v>9499.83</v>
      </c>
      <c r="M66" s="80">
        <v>0</v>
      </c>
      <c r="N66" s="80">
        <v>0</v>
      </c>
      <c r="O66" s="80">
        <v>0</v>
      </c>
      <c r="P66" s="82">
        <f>BD_LUCRO[[#This Row],[Lucro Líq.]]/BD_LUCRO[[#This Row],[Sacas/Ton]]</f>
        <v>0</v>
      </c>
    </row>
    <row r="67" spans="1:16" x14ac:dyDescent="0.25">
      <c r="A67" s="97" t="s">
        <v>216</v>
      </c>
      <c r="B67" s="77">
        <v>2025</v>
      </c>
      <c r="C67" s="78">
        <v>45778</v>
      </c>
      <c r="D67" s="90" t="s">
        <v>247</v>
      </c>
      <c r="E67" s="79" t="s">
        <v>248</v>
      </c>
      <c r="F67" s="79" t="s">
        <v>249</v>
      </c>
      <c r="G67" s="90" t="s">
        <v>243</v>
      </c>
      <c r="H67" s="80" t="s">
        <v>33</v>
      </c>
      <c r="I67" s="81">
        <v>290820</v>
      </c>
      <c r="J67" s="81">
        <f t="shared" si="1"/>
        <v>4847</v>
      </c>
      <c r="K67" s="80">
        <v>2752</v>
      </c>
      <c r="L67" s="80">
        <v>0</v>
      </c>
      <c r="M67" s="80">
        <v>0</v>
      </c>
      <c r="N67" s="80">
        <v>688</v>
      </c>
      <c r="O67" s="80">
        <v>2064</v>
      </c>
      <c r="P67" s="82">
        <f>BD_LUCRO[[#This Row],[Lucro Líq.]]/BD_LUCRO[[#This Row],[Sacas/Ton]]</f>
        <v>0.42583041056323501</v>
      </c>
    </row>
    <row r="68" spans="1:16" x14ac:dyDescent="0.25">
      <c r="A68" s="97" t="s">
        <v>216</v>
      </c>
      <c r="B68" s="77">
        <v>2025</v>
      </c>
      <c r="C68" s="78">
        <v>45778</v>
      </c>
      <c r="D68" s="90" t="s">
        <v>256</v>
      </c>
      <c r="E68" s="79" t="s">
        <v>92</v>
      </c>
      <c r="F68" s="79" t="s">
        <v>92</v>
      </c>
      <c r="G68" s="90" t="s">
        <v>255</v>
      </c>
      <c r="H68" s="80" t="s">
        <v>230</v>
      </c>
      <c r="I68" s="81">
        <v>3748</v>
      </c>
      <c r="J68" s="81">
        <f t="shared" si="1"/>
        <v>62.466666666666669</v>
      </c>
      <c r="K68" s="80">
        <v>0</v>
      </c>
      <c r="L68" s="80">
        <v>0</v>
      </c>
      <c r="M68" s="80">
        <v>637.16</v>
      </c>
      <c r="N68" s="80">
        <v>0</v>
      </c>
      <c r="O68" s="80">
        <v>-24510.1</v>
      </c>
      <c r="P68" s="82">
        <f>BD_LUCRO[[#This Row],[Lucro Líq.]]/BD_LUCRO[[#This Row],[Sacas/Ton]]</f>
        <v>-392.37086446104587</v>
      </c>
    </row>
    <row r="69" spans="1:16" x14ac:dyDescent="0.25">
      <c r="A69" s="97" t="s">
        <v>216</v>
      </c>
      <c r="B69" s="77">
        <v>2025</v>
      </c>
      <c r="C69" s="78">
        <v>45778</v>
      </c>
      <c r="D69" s="90" t="s">
        <v>257</v>
      </c>
      <c r="E69" s="79" t="s">
        <v>258</v>
      </c>
      <c r="F69" s="79" t="s">
        <v>242</v>
      </c>
      <c r="G69" s="90" t="s">
        <v>243</v>
      </c>
      <c r="H69" s="80" t="s">
        <v>33</v>
      </c>
      <c r="I69" s="81">
        <v>565680</v>
      </c>
      <c r="J69" s="81">
        <f t="shared" si="1"/>
        <v>9428</v>
      </c>
      <c r="K69" s="80">
        <v>9428</v>
      </c>
      <c r="L69" s="80">
        <v>0</v>
      </c>
      <c r="M69" s="80">
        <v>0</v>
      </c>
      <c r="N69" s="80">
        <v>2174.6999999999998</v>
      </c>
      <c r="O69" s="80">
        <v>7253.3</v>
      </c>
      <c r="P69" s="82">
        <f>BD_LUCRO[[#This Row],[Lucro Líq.]]/BD_LUCRO[[#This Row],[Sacas/Ton]]</f>
        <v>0.76933602036487059</v>
      </c>
    </row>
    <row r="70" spans="1:16" x14ac:dyDescent="0.25">
      <c r="A70" s="97" t="s">
        <v>216</v>
      </c>
      <c r="B70" s="77">
        <v>2025</v>
      </c>
      <c r="C70" s="78">
        <v>45809</v>
      </c>
      <c r="D70" s="90" t="s">
        <v>92</v>
      </c>
      <c r="E70" s="79" t="s">
        <v>261</v>
      </c>
      <c r="F70" s="79" t="s">
        <v>255</v>
      </c>
      <c r="G70" s="90" t="s">
        <v>92</v>
      </c>
      <c r="H70" s="80" t="s">
        <v>179</v>
      </c>
      <c r="I70" s="81">
        <v>26800</v>
      </c>
      <c r="J70" s="81">
        <f t="shared" si="1"/>
        <v>446.66666666666669</v>
      </c>
      <c r="K70" s="80">
        <v>0</v>
      </c>
      <c r="L70" s="80">
        <v>6646.78</v>
      </c>
      <c r="M70" s="80">
        <v>1779.53</v>
      </c>
      <c r="N70" s="80">
        <v>0</v>
      </c>
      <c r="O70" s="80">
        <v>0</v>
      </c>
      <c r="P70" s="82">
        <f>BD_LUCRO[[#This Row],[Lucro Líq.]]/BD_LUCRO[[#This Row],[Sacas/Ton]]</f>
        <v>0</v>
      </c>
    </row>
    <row r="71" spans="1:16" x14ac:dyDescent="0.25">
      <c r="A71" s="97" t="s">
        <v>216</v>
      </c>
      <c r="B71" s="77">
        <v>2025</v>
      </c>
      <c r="C71" s="78">
        <v>45809</v>
      </c>
      <c r="D71" s="90" t="s">
        <v>92</v>
      </c>
      <c r="E71" s="79" t="s">
        <v>262</v>
      </c>
      <c r="F71" s="79" t="s">
        <v>239</v>
      </c>
      <c r="G71" s="90" t="s">
        <v>92</v>
      </c>
      <c r="H71" s="80" t="s">
        <v>179</v>
      </c>
      <c r="I71" s="81">
        <v>548850</v>
      </c>
      <c r="J71" s="81">
        <f t="shared" si="1"/>
        <v>9147.5</v>
      </c>
      <c r="K71" s="80">
        <v>0</v>
      </c>
      <c r="L71" s="80">
        <v>131469.03</v>
      </c>
      <c r="M71" s="80">
        <v>35702.46</v>
      </c>
      <c r="N71" s="80">
        <v>0</v>
      </c>
      <c r="O71" s="80">
        <v>0</v>
      </c>
      <c r="P71" s="82">
        <f>BD_LUCRO[[#This Row],[Lucro Líq.]]/BD_LUCRO[[#This Row],[Sacas/Ton]]</f>
        <v>0</v>
      </c>
    </row>
    <row r="72" spans="1:16" x14ac:dyDescent="0.25">
      <c r="A72" s="97" t="s">
        <v>216</v>
      </c>
      <c r="B72" s="77">
        <v>2025</v>
      </c>
      <c r="C72" s="78">
        <v>45809</v>
      </c>
      <c r="D72" s="90" t="s">
        <v>263</v>
      </c>
      <c r="E72" s="79" t="s">
        <v>92</v>
      </c>
      <c r="F72" s="79" t="s">
        <v>92</v>
      </c>
      <c r="G72" s="90" t="s">
        <v>264</v>
      </c>
      <c r="H72" s="80" t="s">
        <v>176</v>
      </c>
      <c r="I72" s="81">
        <v>154960</v>
      </c>
      <c r="J72" s="81">
        <f t="shared" si="1"/>
        <v>2582.6666666666665</v>
      </c>
      <c r="K72" s="80">
        <v>0</v>
      </c>
      <c r="L72" s="80">
        <v>61727.6</v>
      </c>
      <c r="M72" s="80">
        <v>0</v>
      </c>
      <c r="N72" s="80">
        <v>145517.79999999999</v>
      </c>
      <c r="O72" s="80">
        <v>46672.66</v>
      </c>
      <c r="P72" s="82">
        <f>BD_LUCRO[[#This Row],[Lucro Líq.]]/BD_LUCRO[[#This Row],[Sacas/Ton]]</f>
        <v>18.071499741868873</v>
      </c>
    </row>
    <row r="73" spans="1:16" x14ac:dyDescent="0.25">
      <c r="A73" s="97" t="s">
        <v>216</v>
      </c>
      <c r="B73" s="77">
        <v>2025</v>
      </c>
      <c r="C73" s="78">
        <v>45809</v>
      </c>
      <c r="D73" s="90" t="s">
        <v>265</v>
      </c>
      <c r="E73" s="79" t="s">
        <v>266</v>
      </c>
      <c r="F73" s="79" t="s">
        <v>267</v>
      </c>
      <c r="G73" s="90" t="s">
        <v>268</v>
      </c>
      <c r="H73" s="80" t="s">
        <v>176</v>
      </c>
      <c r="I73" s="81">
        <v>50080</v>
      </c>
      <c r="J73" s="81">
        <f t="shared" si="1"/>
        <v>834.66666666666663</v>
      </c>
      <c r="K73" s="80">
        <v>92136.99</v>
      </c>
      <c r="L73" s="80">
        <v>25374.3</v>
      </c>
      <c r="M73" s="80">
        <v>0</v>
      </c>
      <c r="N73" s="80">
        <v>50897.97</v>
      </c>
      <c r="O73" s="80">
        <v>13481.12</v>
      </c>
      <c r="P73" s="82">
        <f>BD_LUCRO[[#This Row],[Lucro Líq.]]/BD_LUCRO[[#This Row],[Sacas/Ton]]</f>
        <v>16.151501597444092</v>
      </c>
    </row>
    <row r="74" spans="1:16" x14ac:dyDescent="0.25">
      <c r="A74" s="97" t="s">
        <v>216</v>
      </c>
      <c r="B74" s="77">
        <v>2025</v>
      </c>
      <c r="C74" s="78">
        <v>45839</v>
      </c>
      <c r="D74" s="90" t="s">
        <v>270</v>
      </c>
      <c r="E74" s="79" t="s">
        <v>92</v>
      </c>
      <c r="F74" s="79" t="s">
        <v>92</v>
      </c>
      <c r="G74" s="90" t="s">
        <v>271</v>
      </c>
      <c r="H74" s="80" t="s">
        <v>179</v>
      </c>
      <c r="I74" s="81">
        <v>388860</v>
      </c>
      <c r="J74" s="81">
        <f t="shared" si="1"/>
        <v>6481</v>
      </c>
      <c r="K74" s="80">
        <v>0</v>
      </c>
      <c r="L74" s="80">
        <v>166490.84</v>
      </c>
      <c r="M74" s="80">
        <v>0</v>
      </c>
      <c r="N74" s="80">
        <v>393437.97</v>
      </c>
      <c r="O74" s="80">
        <v>170879.84</v>
      </c>
      <c r="P74" s="82">
        <f>BD_LUCRO[[#This Row],[Lucro Líq.]]/BD_LUCRO[[#This Row],[Sacas/Ton]]</f>
        <v>26.366276809134391</v>
      </c>
    </row>
    <row r="75" spans="1:16" x14ac:dyDescent="0.25">
      <c r="A75" s="97" t="s">
        <v>216</v>
      </c>
      <c r="B75" s="77">
        <v>2025</v>
      </c>
      <c r="C75" s="78">
        <v>45870</v>
      </c>
      <c r="D75" s="90" t="s">
        <v>273</v>
      </c>
      <c r="E75" s="79" t="s">
        <v>274</v>
      </c>
      <c r="F75" s="79" t="s">
        <v>275</v>
      </c>
      <c r="G75" s="90" t="s">
        <v>276</v>
      </c>
      <c r="H75" s="80" t="s">
        <v>207</v>
      </c>
      <c r="I75" s="81">
        <v>76120</v>
      </c>
      <c r="J75" s="81">
        <f t="shared" si="1"/>
        <v>1268.6666666666667</v>
      </c>
      <c r="K75" s="80">
        <v>51761.599999999999</v>
      </c>
      <c r="L75" s="80">
        <v>32551.599999999999</v>
      </c>
      <c r="M75" s="80">
        <v>849.13</v>
      </c>
      <c r="N75" s="80">
        <v>0</v>
      </c>
      <c r="O75" s="80">
        <v>15405.98</v>
      </c>
      <c r="P75" s="82">
        <f>BD_LUCRO[[#This Row],[Lucro Líq.]]/BD_LUCRO[[#This Row],[Sacas/Ton]]</f>
        <v>12.143441933788754</v>
      </c>
    </row>
    <row r="76" spans="1:16" x14ac:dyDescent="0.25">
      <c r="A76" s="97" t="s">
        <v>216</v>
      </c>
      <c r="B76" s="77">
        <v>2025</v>
      </c>
      <c r="C76" s="78">
        <v>45870</v>
      </c>
      <c r="D76" s="90" t="s">
        <v>273</v>
      </c>
      <c r="E76" s="79" t="s">
        <v>277</v>
      </c>
      <c r="F76" s="79" t="s">
        <v>278</v>
      </c>
      <c r="G76" s="90" t="s">
        <v>276</v>
      </c>
      <c r="H76" s="80" t="s">
        <v>207</v>
      </c>
      <c r="I76" s="81">
        <v>260840</v>
      </c>
      <c r="J76" s="81">
        <f t="shared" si="1"/>
        <v>4347.333333333333</v>
      </c>
      <c r="K76" s="80">
        <v>177371.2</v>
      </c>
      <c r="L76" s="80">
        <v>104208.2</v>
      </c>
      <c r="M76" s="80">
        <v>6003.49</v>
      </c>
      <c r="N76" s="80">
        <v>0</v>
      </c>
      <c r="O76" s="80">
        <v>65632.2</v>
      </c>
      <c r="P76" s="82">
        <f>BD_LUCRO[[#This Row],[Lucro Líq.]]/BD_LUCRO[[#This Row],[Sacas/Ton]]</f>
        <v>15.097117006594081</v>
      </c>
    </row>
    <row r="77" spans="1:16" x14ac:dyDescent="0.25">
      <c r="A77" s="97" t="s">
        <v>216</v>
      </c>
      <c r="B77" s="77">
        <v>2025</v>
      </c>
      <c r="C77" s="78">
        <v>45870</v>
      </c>
      <c r="D77" s="90" t="s">
        <v>279</v>
      </c>
      <c r="E77" s="79" t="s">
        <v>280</v>
      </c>
      <c r="F77" s="79" t="s">
        <v>239</v>
      </c>
      <c r="G77" s="90" t="s">
        <v>271</v>
      </c>
      <c r="H77" s="80" t="s">
        <v>173</v>
      </c>
      <c r="I77" s="81">
        <v>257800</v>
      </c>
      <c r="J77" s="81">
        <f t="shared" si="1"/>
        <v>4296.666666666667</v>
      </c>
      <c r="K77" s="80">
        <v>542200.94999999995</v>
      </c>
      <c r="L77" s="80">
        <v>105066.5</v>
      </c>
      <c r="M77" s="80">
        <v>0</v>
      </c>
      <c r="N77" s="80">
        <v>245597.47</v>
      </c>
      <c r="O77" s="80">
        <v>191266.98</v>
      </c>
      <c r="P77" s="82">
        <f>BD_LUCRO[[#This Row],[Lucro Líq.]]/BD_LUCRO[[#This Row],[Sacas/Ton]]</f>
        <v>44.515200930954229</v>
      </c>
    </row>
    <row r="78" spans="1:16" x14ac:dyDescent="0.25">
      <c r="A78" s="97" t="s">
        <v>216</v>
      </c>
      <c r="B78" s="77">
        <v>2025</v>
      </c>
      <c r="C78" s="78">
        <v>45870</v>
      </c>
      <c r="D78" s="90" t="s">
        <v>281</v>
      </c>
      <c r="E78" s="79" t="s">
        <v>92</v>
      </c>
      <c r="F78" s="79" t="s">
        <v>92</v>
      </c>
      <c r="G78" s="90" t="s">
        <v>282</v>
      </c>
      <c r="H78" s="80" t="s">
        <v>173</v>
      </c>
      <c r="I78" s="81">
        <v>103680</v>
      </c>
      <c r="J78" s="81">
        <f t="shared" si="1"/>
        <v>1728</v>
      </c>
      <c r="K78" s="80">
        <v>0</v>
      </c>
      <c r="L78" s="80">
        <v>43198.6</v>
      </c>
      <c r="M78" s="80">
        <v>0</v>
      </c>
      <c r="N78" s="80">
        <v>98772.479999999996</v>
      </c>
      <c r="O78" s="80">
        <v>99616.97</v>
      </c>
      <c r="P78" s="82">
        <f>BD_LUCRO[[#This Row],[Lucro Líq.]]/BD_LUCRO[[#This Row],[Sacas/Ton]]</f>
        <v>57.648709490740742</v>
      </c>
    </row>
    <row r="79" spans="1:16" x14ac:dyDescent="0.25">
      <c r="A79" s="97" t="s">
        <v>216</v>
      </c>
      <c r="B79" s="77">
        <v>2025</v>
      </c>
      <c r="C79" s="78">
        <v>45870</v>
      </c>
      <c r="D79" s="90" t="s">
        <v>283</v>
      </c>
      <c r="E79" s="79" t="s">
        <v>92</v>
      </c>
      <c r="F79" s="79" t="s">
        <v>92</v>
      </c>
      <c r="G79" s="90" t="s">
        <v>271</v>
      </c>
      <c r="H79" s="80" t="s">
        <v>173</v>
      </c>
      <c r="I79" s="81">
        <v>20400</v>
      </c>
      <c r="J79" s="81">
        <f t="shared" si="1"/>
        <v>340</v>
      </c>
      <c r="K79" s="80">
        <v>0</v>
      </c>
      <c r="L79" s="80">
        <v>8732</v>
      </c>
      <c r="M79" s="80">
        <v>0</v>
      </c>
      <c r="N79" s="80">
        <v>19434.400000000001</v>
      </c>
      <c r="O79" s="80">
        <v>12912.4</v>
      </c>
      <c r="P79" s="82">
        <f>BD_LUCRO[[#This Row],[Lucro Líq.]]/BD_LUCRO[[#This Row],[Sacas/Ton]]</f>
        <v>37.977647058823528</v>
      </c>
    </row>
    <row r="80" spans="1:16" x14ac:dyDescent="0.25">
      <c r="A80" s="97" t="s">
        <v>216</v>
      </c>
      <c r="B80" s="77">
        <v>2025</v>
      </c>
      <c r="C80" s="78">
        <v>45870</v>
      </c>
      <c r="D80" s="90" t="s">
        <v>283</v>
      </c>
      <c r="E80" s="79" t="s">
        <v>280</v>
      </c>
      <c r="F80" s="79" t="s">
        <v>239</v>
      </c>
      <c r="G80" s="90" t="s">
        <v>271</v>
      </c>
      <c r="H80" s="80" t="s">
        <v>173</v>
      </c>
      <c r="I80" s="81">
        <v>31240</v>
      </c>
      <c r="J80" s="81">
        <f t="shared" si="1"/>
        <v>520.66666666666663</v>
      </c>
      <c r="K80" s="80">
        <v>58406.15</v>
      </c>
      <c r="L80" s="80">
        <v>12808.4</v>
      </c>
      <c r="M80" s="80">
        <v>0</v>
      </c>
      <c r="N80" s="80">
        <v>29761.31</v>
      </c>
      <c r="O80" s="80">
        <v>15836.44</v>
      </c>
      <c r="P80" s="82">
        <f>BD_LUCRO[[#This Row],[Lucro Líq.]]/BD_LUCRO[[#This Row],[Sacas/Ton]]</f>
        <v>30.415697823303461</v>
      </c>
    </row>
    <row r="81" spans="1:16" x14ac:dyDescent="0.25">
      <c r="A81" s="97" t="s">
        <v>216</v>
      </c>
      <c r="B81" s="77">
        <v>2025</v>
      </c>
      <c r="C81" s="78">
        <v>45901</v>
      </c>
      <c r="D81" s="90" t="s">
        <v>92</v>
      </c>
      <c r="E81" s="79" t="s">
        <v>287</v>
      </c>
      <c r="F81" s="79" t="s">
        <v>288</v>
      </c>
      <c r="G81" s="90" t="s">
        <v>92</v>
      </c>
      <c r="H81" s="80" t="s">
        <v>179</v>
      </c>
      <c r="I81" s="81">
        <v>40000</v>
      </c>
      <c r="J81" s="81">
        <f t="shared" si="1"/>
        <v>666.66666666666663</v>
      </c>
      <c r="K81" s="80">
        <v>0</v>
      </c>
      <c r="L81" s="80">
        <v>0</v>
      </c>
      <c r="M81" s="80">
        <v>0</v>
      </c>
      <c r="N81" s="80">
        <v>0</v>
      </c>
      <c r="O81" s="80">
        <v>0</v>
      </c>
      <c r="P81" s="82">
        <f>BD_LUCRO[[#This Row],[Lucro Líq.]]/BD_LUCRO[[#This Row],[Sacas/Ton]]</f>
        <v>0</v>
      </c>
    </row>
    <row r="82" spans="1:16" x14ac:dyDescent="0.25">
      <c r="A82" s="97" t="s">
        <v>216</v>
      </c>
      <c r="B82" s="77">
        <v>2025</v>
      </c>
      <c r="C82" s="78">
        <v>45901</v>
      </c>
      <c r="D82" s="90" t="s">
        <v>273</v>
      </c>
      <c r="E82" s="79" t="s">
        <v>274</v>
      </c>
      <c r="F82" s="79" t="s">
        <v>275</v>
      </c>
      <c r="G82" s="90" t="s">
        <v>276</v>
      </c>
      <c r="H82" s="80" t="s">
        <v>207</v>
      </c>
      <c r="I82" s="81">
        <v>220780</v>
      </c>
      <c r="J82" s="81">
        <f t="shared" si="1"/>
        <v>3679.6666666666665</v>
      </c>
      <c r="K82" s="80">
        <v>150130.4</v>
      </c>
      <c r="L82" s="80">
        <v>90831.1</v>
      </c>
      <c r="M82" s="80">
        <v>4752.07</v>
      </c>
      <c r="N82" s="80">
        <v>0</v>
      </c>
      <c r="O82" s="80">
        <v>52843.33</v>
      </c>
      <c r="P82" s="82">
        <f>BD_LUCRO[[#This Row],[Lucro Líq.]]/BD_LUCRO[[#This Row],[Sacas/Ton]]</f>
        <v>14.360901349759944</v>
      </c>
    </row>
    <row r="83" spans="1:16" x14ac:dyDescent="0.25">
      <c r="A83" s="97" t="s">
        <v>216</v>
      </c>
      <c r="B83" s="77">
        <v>2025</v>
      </c>
      <c r="C83" s="78">
        <v>45901</v>
      </c>
      <c r="D83" s="90" t="s">
        <v>273</v>
      </c>
      <c r="E83" s="79" t="s">
        <v>277</v>
      </c>
      <c r="F83" s="79" t="s">
        <v>278</v>
      </c>
      <c r="G83" s="90" t="s">
        <v>276</v>
      </c>
      <c r="H83" s="80" t="s">
        <v>207</v>
      </c>
      <c r="I83" s="81">
        <v>112060</v>
      </c>
      <c r="J83" s="81">
        <f t="shared" si="1"/>
        <v>1867.6666666666667</v>
      </c>
      <c r="K83" s="80">
        <v>23038.400000000001</v>
      </c>
      <c r="L83" s="80">
        <v>14229.6</v>
      </c>
      <c r="M83" s="80">
        <v>699.29</v>
      </c>
      <c r="N83" s="80">
        <v>0</v>
      </c>
      <c r="O83" s="80">
        <v>8109.51</v>
      </c>
      <c r="P83" s="82">
        <f>BD_LUCRO[[#This Row],[Lucro Líq.]]/BD_LUCRO[[#This Row],[Sacas/Ton]]</f>
        <v>4.3420542566482245</v>
      </c>
    </row>
    <row r="84" spans="1:16" x14ac:dyDescent="0.25">
      <c r="A84" s="97" t="s">
        <v>216</v>
      </c>
      <c r="B84" s="77">
        <v>2025</v>
      </c>
      <c r="C84" s="78">
        <v>45901</v>
      </c>
      <c r="D84" s="90" t="s">
        <v>289</v>
      </c>
      <c r="E84" s="79" t="s">
        <v>290</v>
      </c>
      <c r="F84" s="79" t="s">
        <v>197</v>
      </c>
      <c r="G84" s="90" t="s">
        <v>291</v>
      </c>
      <c r="H84" s="80" t="s">
        <v>33</v>
      </c>
      <c r="I84" s="81">
        <v>600000</v>
      </c>
      <c r="J84" s="81">
        <f t="shared" si="1"/>
        <v>10000</v>
      </c>
      <c r="K84" s="80">
        <v>35000</v>
      </c>
      <c r="L84" s="80">
        <v>0</v>
      </c>
      <c r="M84" s="80">
        <v>0</v>
      </c>
      <c r="N84" s="80">
        <v>0</v>
      </c>
      <c r="O84" s="80">
        <v>35000</v>
      </c>
      <c r="P84" s="82">
        <f>BD_LUCRO[[#This Row],[Lucro Líq.]]/BD_LUCRO[[#This Row],[Sacas/Ton]]</f>
        <v>3.5</v>
      </c>
    </row>
    <row r="85" spans="1:16" x14ac:dyDescent="0.25">
      <c r="A85" s="97" t="s">
        <v>216</v>
      </c>
      <c r="B85" s="77">
        <v>2025</v>
      </c>
      <c r="C85" s="78">
        <v>45901</v>
      </c>
      <c r="D85" s="90" t="s">
        <v>292</v>
      </c>
      <c r="E85" s="79" t="s">
        <v>274</v>
      </c>
      <c r="F85" s="79" t="s">
        <v>275</v>
      </c>
      <c r="G85" s="90" t="s">
        <v>293</v>
      </c>
      <c r="H85" s="80" t="s">
        <v>207</v>
      </c>
      <c r="I85" s="81">
        <v>45500</v>
      </c>
      <c r="J85" s="81">
        <f t="shared" si="1"/>
        <v>758.33333333333337</v>
      </c>
      <c r="K85" s="80">
        <v>30485</v>
      </c>
      <c r="L85" s="80">
        <v>19247.5</v>
      </c>
      <c r="M85" s="80">
        <v>889.98</v>
      </c>
      <c r="N85" s="80">
        <v>0</v>
      </c>
      <c r="O85" s="80">
        <v>9990.02</v>
      </c>
      <c r="P85" s="82">
        <f>BD_LUCRO[[#This Row],[Lucro Líq.]]/BD_LUCRO[[#This Row],[Sacas/Ton]]</f>
        <v>13.173652747252747</v>
      </c>
    </row>
    <row r="86" spans="1:16" x14ac:dyDescent="0.25">
      <c r="A86" s="97" t="s">
        <v>216</v>
      </c>
      <c r="B86" s="77">
        <v>2025</v>
      </c>
      <c r="C86" s="78">
        <v>45901</v>
      </c>
      <c r="D86" s="90" t="s">
        <v>294</v>
      </c>
      <c r="E86" s="79" t="s">
        <v>274</v>
      </c>
      <c r="F86" s="79" t="s">
        <v>275</v>
      </c>
      <c r="G86" s="90" t="s">
        <v>295</v>
      </c>
      <c r="H86" s="80" t="s">
        <v>207</v>
      </c>
      <c r="I86" s="81">
        <v>155660</v>
      </c>
      <c r="J86" s="81">
        <f t="shared" si="1"/>
        <v>2594.3333333333335</v>
      </c>
      <c r="K86" s="80">
        <v>85181</v>
      </c>
      <c r="L86" s="80">
        <v>51885.2</v>
      </c>
      <c r="M86" s="80">
        <v>3772.14</v>
      </c>
      <c r="N86" s="80">
        <v>0</v>
      </c>
      <c r="O86" s="80">
        <v>28135.360000000001</v>
      </c>
      <c r="P86" s="82">
        <f>BD_LUCRO[[#This Row],[Lucro Líq.]]/BD_LUCRO[[#This Row],[Sacas/Ton]]</f>
        <v>10.84492869073622</v>
      </c>
    </row>
    <row r="87" spans="1:16" x14ac:dyDescent="0.25">
      <c r="A87" s="97" t="s">
        <v>216</v>
      </c>
      <c r="B87" s="77">
        <v>2025</v>
      </c>
      <c r="C87" s="78">
        <v>45901</v>
      </c>
      <c r="D87" s="90" t="s">
        <v>294</v>
      </c>
      <c r="E87" s="79" t="s">
        <v>277</v>
      </c>
      <c r="F87" s="79" t="s">
        <v>278</v>
      </c>
      <c r="G87" s="90" t="s">
        <v>295</v>
      </c>
      <c r="H87" s="80" t="s">
        <v>207</v>
      </c>
      <c r="I87" s="81">
        <v>35740</v>
      </c>
      <c r="J87" s="81">
        <f t="shared" si="1"/>
        <v>595.66666666666663</v>
      </c>
      <c r="K87" s="80">
        <v>19657</v>
      </c>
      <c r="L87" s="80">
        <v>9202.4</v>
      </c>
      <c r="M87" s="80">
        <v>1200.8599999999999</v>
      </c>
      <c r="N87" s="80">
        <v>0</v>
      </c>
      <c r="O87" s="80">
        <v>8985.0400000000009</v>
      </c>
      <c r="P87" s="82">
        <f>BD_LUCRO[[#This Row],[Lucro Líq.]]/BD_LUCRO[[#This Row],[Sacas/Ton]]</f>
        <v>15.084006715165083</v>
      </c>
    </row>
    <row r="88" spans="1:16" x14ac:dyDescent="0.25">
      <c r="A88" s="97" t="s">
        <v>216</v>
      </c>
      <c r="B88" s="77">
        <v>2025</v>
      </c>
      <c r="C88" s="78">
        <v>45901</v>
      </c>
      <c r="D88" s="90" t="s">
        <v>296</v>
      </c>
      <c r="E88" s="79" t="s">
        <v>297</v>
      </c>
      <c r="F88" s="79" t="s">
        <v>239</v>
      </c>
      <c r="G88" s="90" t="s">
        <v>291</v>
      </c>
      <c r="H88" s="80" t="s">
        <v>33</v>
      </c>
      <c r="I88" s="81">
        <v>479950</v>
      </c>
      <c r="J88" s="81">
        <f t="shared" si="1"/>
        <v>7999.166666666667</v>
      </c>
      <c r="K88" s="80">
        <v>81591.5</v>
      </c>
      <c r="L88" s="80">
        <v>0</v>
      </c>
      <c r="M88" s="80">
        <v>0</v>
      </c>
      <c r="N88" s="80">
        <v>0</v>
      </c>
      <c r="O88" s="80">
        <v>81591.5</v>
      </c>
      <c r="P88" s="82">
        <f>BD_LUCRO[[#This Row],[Lucro Líq.]]/BD_LUCRO[[#This Row],[Sacas/Ton]]</f>
        <v>10.199999999999999</v>
      </c>
    </row>
    <row r="89" spans="1:16" x14ac:dyDescent="0.25">
      <c r="A89" s="97" t="s">
        <v>216</v>
      </c>
      <c r="B89" s="77">
        <v>2025</v>
      </c>
      <c r="C89" s="78">
        <v>45931</v>
      </c>
      <c r="D89" s="90" t="s">
        <v>304</v>
      </c>
      <c r="E89" s="79" t="s">
        <v>92</v>
      </c>
      <c r="F89" s="79" t="s">
        <v>92</v>
      </c>
      <c r="G89" s="90" t="s">
        <v>282</v>
      </c>
      <c r="H89" s="80" t="s">
        <v>173</v>
      </c>
      <c r="I89" s="81">
        <v>97720</v>
      </c>
      <c r="J89" s="81">
        <f t="shared" si="1"/>
        <v>1628.6666666666667</v>
      </c>
      <c r="K89" s="80">
        <v>0</v>
      </c>
      <c r="L89" s="80">
        <v>23313.599999999999</v>
      </c>
      <c r="M89" s="80">
        <v>0</v>
      </c>
      <c r="N89" s="80">
        <v>62171.03</v>
      </c>
      <c r="O89" s="80">
        <v>70840.479999999996</v>
      </c>
      <c r="P89" s="82">
        <f>BD_LUCRO[[#This Row],[Lucro Líq.]]/BD_LUCRO[[#This Row],[Sacas/Ton]]</f>
        <v>43.495996725337697</v>
      </c>
    </row>
    <row r="90" spans="1:16" x14ac:dyDescent="0.25">
      <c r="A90" s="97" t="s">
        <v>216</v>
      </c>
      <c r="B90" s="77">
        <v>2025</v>
      </c>
      <c r="C90" s="78">
        <v>45901</v>
      </c>
      <c r="D90" s="90" t="s">
        <v>300</v>
      </c>
      <c r="E90" s="79" t="s">
        <v>277</v>
      </c>
      <c r="F90" s="79" t="s">
        <v>278</v>
      </c>
      <c r="G90" s="90" t="s">
        <v>301</v>
      </c>
      <c r="H90" s="80" t="s">
        <v>207</v>
      </c>
      <c r="I90" s="81">
        <v>46480</v>
      </c>
      <c r="J90" s="81">
        <f t="shared" si="1"/>
        <v>774.66666666666663</v>
      </c>
      <c r="K90" s="80">
        <v>27888</v>
      </c>
      <c r="L90" s="80">
        <v>9715.7999999999993</v>
      </c>
      <c r="M90" s="80">
        <v>1952.16</v>
      </c>
      <c r="N90" s="80">
        <v>464.8</v>
      </c>
      <c r="O90" s="80">
        <v>15352.84</v>
      </c>
      <c r="P90" s="82">
        <f>BD_LUCRO[[#This Row],[Lucro Líq.]]/BD_LUCRO[[#This Row],[Sacas/Ton]]</f>
        <v>19.818640275387263</v>
      </c>
    </row>
    <row r="91" spans="1:16" x14ac:dyDescent="0.25">
      <c r="A91" s="97" t="s">
        <v>216</v>
      </c>
      <c r="B91" s="77">
        <v>2025</v>
      </c>
      <c r="C91" s="78">
        <v>45901</v>
      </c>
      <c r="D91" s="90" t="s">
        <v>298</v>
      </c>
      <c r="E91" s="79" t="s">
        <v>277</v>
      </c>
      <c r="F91" s="79" t="s">
        <v>278</v>
      </c>
      <c r="G91" s="90" t="s">
        <v>299</v>
      </c>
      <c r="H91" s="80" t="s">
        <v>207</v>
      </c>
      <c r="I91" s="81">
        <v>207340</v>
      </c>
      <c r="J91" s="81">
        <f t="shared" si="1"/>
        <v>3455.6666666666665</v>
      </c>
      <c r="K91" s="80">
        <v>19551</v>
      </c>
      <c r="L91" s="80">
        <v>10714.5</v>
      </c>
      <c r="M91" s="80">
        <v>959.03</v>
      </c>
      <c r="N91" s="80">
        <v>0</v>
      </c>
      <c r="O91" s="80">
        <v>7575.97</v>
      </c>
      <c r="P91" s="82">
        <f>BD_LUCRO[[#This Row],[Lucro Líq.]]/BD_LUCRO[[#This Row],[Sacas/Ton]]</f>
        <v>2.1923324008874316</v>
      </c>
    </row>
    <row r="92" spans="1:16" x14ac:dyDescent="0.25">
      <c r="A92" s="97" t="s">
        <v>216</v>
      </c>
      <c r="B92" s="77">
        <v>2025</v>
      </c>
      <c r="C92" s="78">
        <v>45931</v>
      </c>
      <c r="D92" s="90" t="s">
        <v>305</v>
      </c>
      <c r="E92" s="79" t="s">
        <v>277</v>
      </c>
      <c r="F92" s="79" t="s">
        <v>278</v>
      </c>
      <c r="G92" s="90" t="s">
        <v>306</v>
      </c>
      <c r="H92" s="80" t="s">
        <v>207</v>
      </c>
      <c r="I92" s="81">
        <v>37560</v>
      </c>
      <c r="J92" s="81">
        <f t="shared" si="1"/>
        <v>626</v>
      </c>
      <c r="K92" s="80">
        <v>20791.599999999999</v>
      </c>
      <c r="L92" s="80">
        <v>9345</v>
      </c>
      <c r="M92" s="80">
        <v>1289.06</v>
      </c>
      <c r="N92" s="80">
        <v>0</v>
      </c>
      <c r="O92" s="80">
        <v>9839.74</v>
      </c>
      <c r="P92" s="82">
        <f>BD_LUCRO[[#This Row],[Lucro Líq.]]/BD_LUCRO[[#This Row],[Sacas/Ton]]</f>
        <v>15.718434504792333</v>
      </c>
    </row>
    <row r="93" spans="1:16" x14ac:dyDescent="0.25">
      <c r="A93" s="97" t="s">
        <v>216</v>
      </c>
      <c r="B93" s="77">
        <v>2025</v>
      </c>
      <c r="C93" s="78">
        <v>45962</v>
      </c>
      <c r="D93" s="90" t="s">
        <v>307</v>
      </c>
      <c r="E93" s="79" t="s">
        <v>308</v>
      </c>
      <c r="F93" s="79" t="s">
        <v>239</v>
      </c>
      <c r="G93" s="90" t="s">
        <v>309</v>
      </c>
      <c r="H93" s="80" t="s">
        <v>207</v>
      </c>
      <c r="I93" s="81">
        <v>75020</v>
      </c>
      <c r="J93" s="81">
        <f t="shared" si="1"/>
        <v>1250.3333333333333</v>
      </c>
      <c r="K93" s="80">
        <v>22519</v>
      </c>
      <c r="L93" s="80">
        <v>20825.599999999999</v>
      </c>
      <c r="M93" s="80">
        <v>2160.58</v>
      </c>
      <c r="N93" s="80">
        <v>1500.4</v>
      </c>
      <c r="O93" s="80">
        <v>-2642.68</v>
      </c>
      <c r="P93" s="82">
        <f>BD_LUCRO[[#This Row],[Lucro Líq.]]/BD_LUCRO[[#This Row],[Sacas/Ton]]</f>
        <v>-2.1135803785657159</v>
      </c>
    </row>
    <row r="94" spans="1:16" x14ac:dyDescent="0.25">
      <c r="A94" s="97" t="s">
        <v>216</v>
      </c>
      <c r="B94" s="77">
        <v>2025</v>
      </c>
      <c r="C94" s="78">
        <v>45962</v>
      </c>
      <c r="D94" s="90" t="s">
        <v>310</v>
      </c>
      <c r="E94" s="79" t="s">
        <v>92</v>
      </c>
      <c r="F94" s="79" t="s">
        <v>92</v>
      </c>
      <c r="G94" s="90" t="s">
        <v>311</v>
      </c>
      <c r="H94" s="80" t="s">
        <v>173</v>
      </c>
      <c r="I94" s="81">
        <v>23520</v>
      </c>
      <c r="J94" s="81">
        <f t="shared" si="1"/>
        <v>392</v>
      </c>
      <c r="K94" s="80">
        <v>0</v>
      </c>
      <c r="L94" s="80">
        <v>0</v>
      </c>
      <c r="M94" s="80">
        <v>0</v>
      </c>
      <c r="N94" s="80">
        <v>0</v>
      </c>
      <c r="O94" s="80">
        <v>-33049.32</v>
      </c>
      <c r="P94" s="82">
        <f>BD_LUCRO[[#This Row],[Lucro Líq.]]/BD_LUCRO[[#This Row],[Sacas/Ton]]</f>
        <v>-84.309489795918367</v>
      </c>
    </row>
    <row r="95" spans="1:16" x14ac:dyDescent="0.25">
      <c r="A95" s="97" t="s">
        <v>216</v>
      </c>
      <c r="B95" s="77">
        <v>2025</v>
      </c>
      <c r="C95" s="78">
        <v>45962</v>
      </c>
      <c r="D95" s="90" t="s">
        <v>312</v>
      </c>
      <c r="E95" s="79" t="s">
        <v>308</v>
      </c>
      <c r="F95" s="79" t="s">
        <v>239</v>
      </c>
      <c r="G95" s="90" t="s">
        <v>313</v>
      </c>
      <c r="H95" s="80" t="s">
        <v>207</v>
      </c>
      <c r="I95" s="81">
        <v>73800</v>
      </c>
      <c r="J95" s="81">
        <f t="shared" si="1"/>
        <v>1230</v>
      </c>
      <c r="K95" s="80">
        <v>22140</v>
      </c>
      <c r="L95" s="80">
        <v>17896.599999999999</v>
      </c>
      <c r="M95" s="80">
        <v>2435.9299999999998</v>
      </c>
      <c r="N95" s="80">
        <v>1476</v>
      </c>
      <c r="O95" s="80">
        <v>-377.53</v>
      </c>
      <c r="P95" s="82">
        <f>BD_LUCRO[[#This Row],[Lucro Líq.]]/BD_LUCRO[[#This Row],[Sacas/Ton]]</f>
        <v>-0.30693495934959347</v>
      </c>
    </row>
    <row r="96" spans="1:16" x14ac:dyDescent="0.25">
      <c r="A96" s="97" t="s">
        <v>216</v>
      </c>
      <c r="B96" s="77">
        <v>2025</v>
      </c>
      <c r="C96" s="78">
        <v>45962</v>
      </c>
      <c r="D96" s="90" t="s">
        <v>314</v>
      </c>
      <c r="E96" s="79" t="s">
        <v>315</v>
      </c>
      <c r="F96" s="79" t="s">
        <v>316</v>
      </c>
      <c r="G96" s="90" t="s">
        <v>317</v>
      </c>
      <c r="H96" s="80" t="s">
        <v>173</v>
      </c>
      <c r="I96" s="81">
        <v>175000</v>
      </c>
      <c r="J96" s="81">
        <f t="shared" si="1"/>
        <v>2916.6666666666665</v>
      </c>
      <c r="K96" s="80">
        <v>100723.33</v>
      </c>
      <c r="L96" s="80">
        <v>51726.17</v>
      </c>
      <c r="M96" s="80">
        <v>0</v>
      </c>
      <c r="N96" s="80">
        <v>0</v>
      </c>
      <c r="O96" s="80">
        <v>38465.83</v>
      </c>
      <c r="P96" s="82">
        <f>BD_LUCRO[[#This Row],[Lucro Líq.]]/BD_LUCRO[[#This Row],[Sacas/Ton]]</f>
        <v>13.188284571428573</v>
      </c>
    </row>
    <row r="97" spans="1:16" x14ac:dyDescent="0.25">
      <c r="A97" s="97" t="s">
        <v>216</v>
      </c>
      <c r="B97" s="77">
        <v>2025</v>
      </c>
      <c r="C97" s="78">
        <v>45962</v>
      </c>
      <c r="D97" s="90" t="s">
        <v>318</v>
      </c>
      <c r="E97" s="79" t="s">
        <v>92</v>
      </c>
      <c r="F97" s="79" t="s">
        <v>92</v>
      </c>
      <c r="G97" s="90" t="s">
        <v>319</v>
      </c>
      <c r="H97" s="80" t="s">
        <v>179</v>
      </c>
      <c r="I97" s="81">
        <v>101360</v>
      </c>
      <c r="J97" s="81">
        <f t="shared" si="1"/>
        <v>1689.3333333333333</v>
      </c>
      <c r="K97" s="80">
        <v>0</v>
      </c>
      <c r="L97" s="80">
        <v>33775</v>
      </c>
      <c r="M97" s="80">
        <v>0</v>
      </c>
      <c r="N97" s="80">
        <v>0</v>
      </c>
      <c r="O97" s="80">
        <v>129952.06</v>
      </c>
      <c r="P97" s="82">
        <f>BD_LUCRO[[#This Row],[Lucro Líq.]]/BD_LUCRO[[#This Row],[Sacas/Ton]]</f>
        <v>76.92505524861879</v>
      </c>
    </row>
    <row r="98" spans="1:16" x14ac:dyDescent="0.25">
      <c r="A98" s="97" t="s">
        <v>216</v>
      </c>
      <c r="B98" s="77">
        <v>2025</v>
      </c>
      <c r="C98" s="78">
        <v>45962</v>
      </c>
      <c r="D98" s="90" t="s">
        <v>320</v>
      </c>
      <c r="E98" s="79" t="s">
        <v>308</v>
      </c>
      <c r="F98" s="79" t="s">
        <v>239</v>
      </c>
      <c r="G98" s="90" t="s">
        <v>321</v>
      </c>
      <c r="H98" s="80" t="s">
        <v>207</v>
      </c>
      <c r="I98" s="81">
        <v>38260</v>
      </c>
      <c r="J98" s="81">
        <f t="shared" si="1"/>
        <v>637.66666666666663</v>
      </c>
      <c r="K98" s="80">
        <v>11478</v>
      </c>
      <c r="L98" s="80">
        <v>10240.200000000001</v>
      </c>
      <c r="M98" s="80">
        <v>1147.8</v>
      </c>
      <c r="N98" s="80">
        <v>765.2</v>
      </c>
      <c r="O98" s="80">
        <v>-1026.5</v>
      </c>
      <c r="P98" s="82">
        <f>BD_LUCRO[[#This Row],[Lucro Líq.]]/BD_LUCRO[[#This Row],[Sacas/Ton]]</f>
        <v>-1.6097752221641402</v>
      </c>
    </row>
    <row r="99" spans="1:16" x14ac:dyDescent="0.25">
      <c r="A99" s="97" t="s">
        <v>216</v>
      </c>
      <c r="B99" s="77">
        <v>2025</v>
      </c>
      <c r="C99" s="78">
        <v>45962</v>
      </c>
      <c r="D99" s="90" t="s">
        <v>322</v>
      </c>
      <c r="E99" s="79" t="s">
        <v>308</v>
      </c>
      <c r="F99" s="79" t="s">
        <v>239</v>
      </c>
      <c r="G99" s="90" t="s">
        <v>323</v>
      </c>
      <c r="H99" s="80" t="s">
        <v>207</v>
      </c>
      <c r="I99" s="81">
        <v>18640</v>
      </c>
      <c r="J99" s="81">
        <f t="shared" si="1"/>
        <v>310.66666666666669</v>
      </c>
      <c r="K99" s="80">
        <v>6337.6</v>
      </c>
      <c r="L99" s="80">
        <v>6058</v>
      </c>
      <c r="M99" s="80">
        <v>471.97</v>
      </c>
      <c r="N99" s="80">
        <v>372.8</v>
      </c>
      <c r="O99" s="80">
        <v>-565.16</v>
      </c>
      <c r="P99" s="82">
        <f>BD_LUCRO[[#This Row],[Lucro Líq.]]/BD_LUCRO[[#This Row],[Sacas/Ton]]</f>
        <v>-1.8191845493562229</v>
      </c>
    </row>
    <row r="100" spans="1:16" x14ac:dyDescent="0.25">
      <c r="A100" s="97" t="s">
        <v>216</v>
      </c>
      <c r="B100" s="77">
        <v>2025</v>
      </c>
      <c r="C100" s="78">
        <v>45962</v>
      </c>
      <c r="D100" s="90" t="s">
        <v>322</v>
      </c>
      <c r="E100" s="79" t="s">
        <v>324</v>
      </c>
      <c r="F100" s="79" t="s">
        <v>278</v>
      </c>
      <c r="G100" s="90" t="s">
        <v>323</v>
      </c>
      <c r="H100" s="80" t="s">
        <v>207</v>
      </c>
      <c r="I100" s="81">
        <v>31980</v>
      </c>
      <c r="J100" s="81">
        <f t="shared" si="1"/>
        <v>533</v>
      </c>
      <c r="K100" s="80">
        <v>14710.8</v>
      </c>
      <c r="L100" s="80">
        <v>10303.5</v>
      </c>
      <c r="M100" s="80">
        <v>809.74</v>
      </c>
      <c r="N100" s="80">
        <v>639.6</v>
      </c>
      <c r="O100" s="80">
        <v>2544.87</v>
      </c>
      <c r="P100" s="82">
        <f>BD_LUCRO[[#This Row],[Lucro Líq.]]/BD_LUCRO[[#This Row],[Sacas/Ton]]</f>
        <v>4.7746153846153847</v>
      </c>
    </row>
    <row r="101" spans="1:16" x14ac:dyDescent="0.25">
      <c r="A101" s="97" t="s">
        <v>216</v>
      </c>
      <c r="B101" s="77">
        <v>2025</v>
      </c>
      <c r="C101" s="78">
        <v>45962</v>
      </c>
      <c r="D101" s="90" t="s">
        <v>325</v>
      </c>
      <c r="E101" s="79" t="s">
        <v>326</v>
      </c>
      <c r="F101" s="79" t="s">
        <v>327</v>
      </c>
      <c r="G101" s="90" t="s">
        <v>328</v>
      </c>
      <c r="H101" s="80" t="s">
        <v>215</v>
      </c>
      <c r="I101" s="81">
        <v>153360</v>
      </c>
      <c r="J101" s="81">
        <f t="shared" si="1"/>
        <v>2556</v>
      </c>
      <c r="K101" s="80">
        <v>55418</v>
      </c>
      <c r="L101" s="80">
        <v>36042</v>
      </c>
      <c r="M101" s="80">
        <v>3620.76</v>
      </c>
      <c r="N101" s="80">
        <v>766.8</v>
      </c>
      <c r="O101" s="80">
        <v>13721.64</v>
      </c>
      <c r="P101" s="82">
        <f>BD_LUCRO[[#This Row],[Lucro Líq.]]/BD_LUCRO[[#This Row],[Sacas/Ton]]</f>
        <v>5.3684037558685445</v>
      </c>
    </row>
    <row r="102" spans="1:16" x14ac:dyDescent="0.25">
      <c r="A102" s="97" t="s">
        <v>216</v>
      </c>
      <c r="B102" s="77">
        <v>2025</v>
      </c>
      <c r="C102" s="78">
        <v>45962</v>
      </c>
      <c r="D102" s="90" t="s">
        <v>329</v>
      </c>
      <c r="E102" s="79" t="s">
        <v>308</v>
      </c>
      <c r="F102" s="79" t="s">
        <v>239</v>
      </c>
      <c r="G102" s="90" t="s">
        <v>330</v>
      </c>
      <c r="H102" s="80" t="s">
        <v>207</v>
      </c>
      <c r="I102" s="81">
        <v>74940</v>
      </c>
      <c r="J102" s="81">
        <f t="shared" si="1"/>
        <v>1249</v>
      </c>
      <c r="K102" s="80">
        <v>18010.400000000001</v>
      </c>
      <c r="L102" s="80">
        <v>17796</v>
      </c>
      <c r="M102" s="80">
        <v>2302.16</v>
      </c>
      <c r="N102" s="80">
        <v>1498.8</v>
      </c>
      <c r="O102" s="80">
        <v>-4301.26</v>
      </c>
      <c r="P102" s="82">
        <f>BD_LUCRO[[#This Row],[Lucro Líq.]]/BD_LUCRO[[#This Row],[Sacas/Ton]]</f>
        <v>-3.4437630104083268</v>
      </c>
    </row>
    <row r="103" spans="1:16" x14ac:dyDescent="0.25">
      <c r="A103" s="97" t="s">
        <v>216</v>
      </c>
      <c r="B103" s="77">
        <v>2025</v>
      </c>
      <c r="C103" s="78">
        <v>45962</v>
      </c>
      <c r="D103" s="90" t="s">
        <v>331</v>
      </c>
      <c r="E103" s="79" t="s">
        <v>308</v>
      </c>
      <c r="F103" s="79" t="s">
        <v>239</v>
      </c>
      <c r="G103" s="90" t="s">
        <v>332</v>
      </c>
      <c r="H103" s="80" t="s">
        <v>207</v>
      </c>
      <c r="I103" s="81">
        <v>38780</v>
      </c>
      <c r="J103" s="81">
        <f t="shared" si="1"/>
        <v>646.33333333333337</v>
      </c>
      <c r="K103" s="80">
        <v>14348.6</v>
      </c>
      <c r="L103" s="80">
        <v>11931.8</v>
      </c>
      <c r="M103" s="80">
        <v>1293.7</v>
      </c>
      <c r="N103" s="80">
        <v>0</v>
      </c>
      <c r="O103" s="80">
        <v>769.2</v>
      </c>
      <c r="P103" s="82">
        <f>BD_LUCRO[[#This Row],[Lucro Líq.]]/BD_LUCRO[[#This Row],[Sacas/Ton]]</f>
        <v>1.1900979886539453</v>
      </c>
    </row>
    <row r="104" spans="1:16" x14ac:dyDescent="0.25">
      <c r="A104" s="97" t="s">
        <v>216</v>
      </c>
      <c r="B104" s="77">
        <v>2025</v>
      </c>
      <c r="C104" s="78">
        <v>45992</v>
      </c>
      <c r="D104" s="90" t="s">
        <v>325</v>
      </c>
      <c r="E104" s="79" t="s">
        <v>326</v>
      </c>
      <c r="F104" s="79" t="s">
        <v>327</v>
      </c>
      <c r="G104" s="90" t="s">
        <v>328</v>
      </c>
      <c r="H104" s="80" t="s">
        <v>215</v>
      </c>
      <c r="I104" s="81">
        <v>464240</v>
      </c>
      <c r="J104" s="81">
        <f t="shared" si="1"/>
        <v>7737.333333333333</v>
      </c>
      <c r="K104" s="80">
        <v>168835.33</v>
      </c>
      <c r="L104" s="80">
        <v>111607.9</v>
      </c>
      <c r="M104" s="80">
        <v>10835.31</v>
      </c>
      <c r="N104" s="80">
        <v>2321.1999999999998</v>
      </c>
      <c r="O104" s="80">
        <v>40249.72</v>
      </c>
      <c r="P104" s="82">
        <f>BD_LUCRO[[#This Row],[Lucro Líq.]]/BD_LUCRO[[#This Row],[Sacas/Ton]]</f>
        <v>5.2020144752714117</v>
      </c>
    </row>
    <row r="105" spans="1:16" x14ac:dyDescent="0.25">
      <c r="A105" s="97" t="s">
        <v>216</v>
      </c>
      <c r="B105" s="77">
        <v>2025</v>
      </c>
      <c r="C105" s="78">
        <v>45992</v>
      </c>
      <c r="D105" s="90" t="s">
        <v>335</v>
      </c>
      <c r="E105" s="79" t="s">
        <v>324</v>
      </c>
      <c r="F105" s="79" t="s">
        <v>278</v>
      </c>
      <c r="G105" s="90" t="s">
        <v>295</v>
      </c>
      <c r="H105" s="80" t="s">
        <v>207</v>
      </c>
      <c r="I105" s="81">
        <v>93440</v>
      </c>
      <c r="J105" s="81">
        <f t="shared" si="1"/>
        <v>1557.3333333333333</v>
      </c>
      <c r="K105" s="80">
        <v>40048.199999999997</v>
      </c>
      <c r="L105" s="80">
        <v>26084.799999999999</v>
      </c>
      <c r="M105" s="80">
        <v>2623.79</v>
      </c>
      <c r="N105" s="80">
        <v>934.4</v>
      </c>
      <c r="O105" s="80">
        <v>9678.01</v>
      </c>
      <c r="P105" s="82">
        <f>BD_LUCRO[[#This Row],[Lucro Líq.]]/BD_LUCRO[[#This Row],[Sacas/Ton]]</f>
        <v>6.2144755993150689</v>
      </c>
    </row>
    <row r="106" spans="1:16" x14ac:dyDescent="0.25">
      <c r="A106" s="97" t="s">
        <v>216</v>
      </c>
      <c r="B106" s="77">
        <v>2025</v>
      </c>
      <c r="C106" s="78">
        <v>45992</v>
      </c>
      <c r="D106" s="90" t="s">
        <v>336</v>
      </c>
      <c r="E106" s="79" t="s">
        <v>326</v>
      </c>
      <c r="F106" s="79" t="s">
        <v>327</v>
      </c>
      <c r="G106" s="90" t="s">
        <v>337</v>
      </c>
      <c r="H106" s="80" t="s">
        <v>215</v>
      </c>
      <c r="I106" s="81">
        <v>53080</v>
      </c>
      <c r="J106" s="81">
        <f t="shared" si="1"/>
        <v>884.66666666666663</v>
      </c>
      <c r="K106" s="80">
        <v>19330.669999999998</v>
      </c>
      <c r="L106" s="80">
        <v>13710.8</v>
      </c>
      <c r="M106" s="80">
        <v>1210.22</v>
      </c>
      <c r="N106" s="80">
        <v>265.39999999999998</v>
      </c>
      <c r="O106" s="80">
        <v>3718.85</v>
      </c>
      <c r="P106" s="82">
        <f>BD_LUCRO[[#This Row],[Lucro Líq.]]/BD_LUCRO[[#This Row],[Sacas/Ton]]</f>
        <v>4.2036737000753579</v>
      </c>
    </row>
    <row r="107" spans="1:16" x14ac:dyDescent="0.25">
      <c r="A107" s="97" t="s">
        <v>216</v>
      </c>
      <c r="B107" s="77">
        <v>2025</v>
      </c>
      <c r="C107" s="78">
        <v>45992</v>
      </c>
      <c r="D107" s="90" t="s">
        <v>338</v>
      </c>
      <c r="E107" s="79" t="s">
        <v>339</v>
      </c>
      <c r="F107" s="79" t="s">
        <v>340</v>
      </c>
      <c r="G107" s="90" t="s">
        <v>317</v>
      </c>
      <c r="H107" s="80" t="s">
        <v>173</v>
      </c>
      <c r="I107" s="81">
        <v>150480</v>
      </c>
      <c r="J107" s="81">
        <f t="shared" si="1"/>
        <v>2508</v>
      </c>
      <c r="K107" s="80">
        <v>87780</v>
      </c>
      <c r="L107" s="80">
        <v>54912.4</v>
      </c>
      <c r="M107" s="80">
        <v>0</v>
      </c>
      <c r="N107" s="80">
        <v>0</v>
      </c>
      <c r="O107" s="80">
        <v>30405.200000000001</v>
      </c>
      <c r="P107" s="82">
        <f>BD_LUCRO[[#This Row],[Lucro Líq.]]/BD_LUCRO[[#This Row],[Sacas/Ton]]</f>
        <v>12.123285486443381</v>
      </c>
    </row>
    <row r="108" spans="1:16" x14ac:dyDescent="0.25">
      <c r="A108" s="97" t="s">
        <v>216</v>
      </c>
      <c r="B108" s="77">
        <v>2025</v>
      </c>
      <c r="C108" s="78">
        <v>45748</v>
      </c>
      <c r="D108" s="90" t="s">
        <v>346</v>
      </c>
      <c r="E108" s="79" t="s">
        <v>246</v>
      </c>
      <c r="F108" s="79" t="s">
        <v>242</v>
      </c>
      <c r="G108" s="90" t="s">
        <v>243</v>
      </c>
      <c r="H108" s="80" t="s">
        <v>33</v>
      </c>
      <c r="I108" s="81">
        <v>14620</v>
      </c>
      <c r="J108" s="81">
        <f t="shared" si="1"/>
        <v>243.66666666666666</v>
      </c>
      <c r="K108" s="80">
        <v>1949.33</v>
      </c>
      <c r="L108" s="80">
        <v>0</v>
      </c>
      <c r="M108" s="80">
        <v>0</v>
      </c>
      <c r="N108" s="80">
        <v>121.83</v>
      </c>
      <c r="O108" s="80">
        <v>1827.5</v>
      </c>
      <c r="P108" s="82">
        <f>BD_LUCRO[[#This Row],[Lucro Líq.]]/BD_LUCRO[[#This Row],[Sacas/Ton]]</f>
        <v>7.5</v>
      </c>
    </row>
    <row r="109" spans="1:16" x14ac:dyDescent="0.25">
      <c r="A109" s="97" t="s">
        <v>216</v>
      </c>
      <c r="B109" s="77">
        <v>2025</v>
      </c>
      <c r="C109" s="78">
        <v>45931</v>
      </c>
      <c r="D109" s="90" t="s">
        <v>347</v>
      </c>
      <c r="E109" s="79" t="s">
        <v>92</v>
      </c>
      <c r="F109" s="79" t="s">
        <v>92</v>
      </c>
      <c r="G109" s="90" t="s">
        <v>282</v>
      </c>
      <c r="H109" s="80" t="s">
        <v>173</v>
      </c>
      <c r="I109" s="81">
        <v>119540</v>
      </c>
      <c r="J109" s="81">
        <f t="shared" si="1"/>
        <v>1992.3333333333333</v>
      </c>
      <c r="K109" s="80">
        <v>0</v>
      </c>
      <c r="L109" s="80">
        <v>47546</v>
      </c>
      <c r="M109" s="80">
        <v>0</v>
      </c>
      <c r="N109" s="80">
        <v>119540</v>
      </c>
      <c r="O109" s="80">
        <v>41040.6</v>
      </c>
      <c r="P109" s="82">
        <f>BD_LUCRO[[#This Row],[Lucro Líq.]]/BD_LUCRO[[#This Row],[Sacas/Ton]]</f>
        <v>20.599263844738164</v>
      </c>
    </row>
    <row r="110" spans="1:16" x14ac:dyDescent="0.25">
      <c r="A110" s="97" t="s">
        <v>216</v>
      </c>
      <c r="B110" s="77">
        <v>2025</v>
      </c>
      <c r="C110" s="78">
        <v>45931</v>
      </c>
      <c r="D110" s="90" t="s">
        <v>348</v>
      </c>
      <c r="E110" s="79" t="s">
        <v>349</v>
      </c>
      <c r="F110" s="79" t="s">
        <v>350</v>
      </c>
      <c r="G110" s="90" t="s">
        <v>317</v>
      </c>
      <c r="H110" s="80" t="s">
        <v>176</v>
      </c>
      <c r="I110" s="81">
        <v>100000</v>
      </c>
      <c r="J110" s="81">
        <f t="shared" si="1"/>
        <v>1666.6666666666667</v>
      </c>
      <c r="K110" s="80">
        <v>50000</v>
      </c>
      <c r="L110" s="80">
        <v>0</v>
      </c>
      <c r="M110" s="80">
        <v>0</v>
      </c>
      <c r="N110" s="80">
        <v>35000</v>
      </c>
      <c r="O110" s="80">
        <v>15000</v>
      </c>
      <c r="P110" s="82">
        <f>BD_LUCRO[[#This Row],[Lucro Líq.]]/BD_LUCRO[[#This Row],[Sacas/Ton]]</f>
        <v>9</v>
      </c>
    </row>
    <row r="111" spans="1:16" x14ac:dyDescent="0.25">
      <c r="A111" s="97" t="s">
        <v>216</v>
      </c>
      <c r="B111" s="77">
        <v>2025</v>
      </c>
      <c r="C111" s="78">
        <v>45931</v>
      </c>
      <c r="D111" s="90" t="s">
        <v>305</v>
      </c>
      <c r="E111" s="79" t="s">
        <v>308</v>
      </c>
      <c r="F111" s="79" t="s">
        <v>239</v>
      </c>
      <c r="G111" s="90" t="s">
        <v>306</v>
      </c>
      <c r="H111" s="80" t="s">
        <v>207</v>
      </c>
      <c r="I111" s="81">
        <v>35420</v>
      </c>
      <c r="J111" s="81">
        <f t="shared" si="1"/>
        <v>590.33333333333337</v>
      </c>
      <c r="K111" s="80">
        <v>12042.8</v>
      </c>
      <c r="L111" s="80">
        <v>8765</v>
      </c>
      <c r="M111" s="80">
        <v>1215.6099999999999</v>
      </c>
      <c r="N111" s="80">
        <v>0</v>
      </c>
      <c r="O111" s="80">
        <v>1715.09</v>
      </c>
      <c r="P111" s="82">
        <f>BD_LUCRO[[#This Row],[Lucro Líq.]]/BD_LUCRO[[#This Row],[Sacas/Ton]]</f>
        <v>2.9052907961603611</v>
      </c>
    </row>
    <row r="112" spans="1:16" x14ac:dyDescent="0.25">
      <c r="A112" s="97" t="s">
        <v>216</v>
      </c>
      <c r="B112" s="77">
        <v>2025</v>
      </c>
      <c r="C112" s="78">
        <v>45931</v>
      </c>
      <c r="D112" s="90" t="s">
        <v>298</v>
      </c>
      <c r="E112" s="79" t="s">
        <v>308</v>
      </c>
      <c r="F112" s="79" t="s">
        <v>239</v>
      </c>
      <c r="G112" s="90" t="s">
        <v>299</v>
      </c>
      <c r="H112" s="80" t="s">
        <v>207</v>
      </c>
      <c r="I112" s="81">
        <v>114100</v>
      </c>
      <c r="J112" s="81">
        <f t="shared" si="1"/>
        <v>1901.6666666666667</v>
      </c>
      <c r="K112" s="80">
        <v>42217</v>
      </c>
      <c r="L112" s="80">
        <v>37392.800000000003</v>
      </c>
      <c r="M112" s="80">
        <v>2983.67</v>
      </c>
      <c r="N112" s="80">
        <v>0</v>
      </c>
      <c r="O112" s="80">
        <v>760.03</v>
      </c>
      <c r="P112" s="82">
        <f>BD_LUCRO[[#This Row],[Lucro Líq.]]/BD_LUCRO[[#This Row],[Sacas/Ton]]</f>
        <v>0.39966520595968447</v>
      </c>
    </row>
    <row r="113" spans="1:16" x14ac:dyDescent="0.25">
      <c r="A113" s="97" t="s">
        <v>216</v>
      </c>
      <c r="B113" s="77">
        <v>2025</v>
      </c>
      <c r="C113" s="78">
        <v>45931</v>
      </c>
      <c r="D113" s="90" t="s">
        <v>351</v>
      </c>
      <c r="E113" s="79" t="s">
        <v>92</v>
      </c>
      <c r="F113" s="79" t="s">
        <v>92</v>
      </c>
      <c r="G113" s="90" t="s">
        <v>352</v>
      </c>
      <c r="H113" s="80" t="s">
        <v>173</v>
      </c>
      <c r="I113" s="81">
        <v>200020</v>
      </c>
      <c r="J113" s="81">
        <f t="shared" si="1"/>
        <v>3333.6666666666665</v>
      </c>
      <c r="K113" s="80">
        <v>0</v>
      </c>
      <c r="L113" s="80">
        <v>82210.55</v>
      </c>
      <c r="M113" s="80">
        <v>0</v>
      </c>
      <c r="N113" s="80">
        <v>184285.09</v>
      </c>
      <c r="O113" s="80">
        <v>75887.42</v>
      </c>
      <c r="P113" s="82">
        <f>BD_LUCRO[[#This Row],[Lucro Líq.]]/BD_LUCRO[[#This Row],[Sacas/Ton]]</f>
        <v>22.763949605039496</v>
      </c>
    </row>
    <row r="114" spans="1:16" x14ac:dyDescent="0.25">
      <c r="A114" s="97" t="s">
        <v>216</v>
      </c>
      <c r="B114" s="77">
        <v>2025</v>
      </c>
      <c r="C114" s="78">
        <v>45931</v>
      </c>
      <c r="D114" s="90" t="s">
        <v>353</v>
      </c>
      <c r="E114" s="79" t="s">
        <v>92</v>
      </c>
      <c r="F114" s="79" t="s">
        <v>92</v>
      </c>
      <c r="G114" s="90" t="s">
        <v>354</v>
      </c>
      <c r="H114" s="80" t="s">
        <v>179</v>
      </c>
      <c r="I114" s="81">
        <v>150500</v>
      </c>
      <c r="J114" s="81">
        <f t="shared" si="1"/>
        <v>2508.3333333333335</v>
      </c>
      <c r="K114" s="80">
        <v>0</v>
      </c>
      <c r="L114" s="80">
        <v>59363.8</v>
      </c>
      <c r="M114" s="80">
        <v>0</v>
      </c>
      <c r="N114" s="80">
        <v>140466.67000000001</v>
      </c>
      <c r="O114" s="80">
        <v>-38037.46</v>
      </c>
      <c r="P114" s="82">
        <f>BD_LUCRO[[#This Row],[Lucro Líq.]]/BD_LUCRO[[#This Row],[Sacas/Ton]]</f>
        <v>-15.164435880398671</v>
      </c>
    </row>
    <row r="115" spans="1:16" x14ac:dyDescent="0.25">
      <c r="A115" s="97" t="s">
        <v>216</v>
      </c>
      <c r="B115" s="77">
        <v>2025</v>
      </c>
      <c r="C115" s="78">
        <v>45931</v>
      </c>
      <c r="D115" s="90" t="s">
        <v>273</v>
      </c>
      <c r="E115" s="79" t="s">
        <v>308</v>
      </c>
      <c r="F115" s="79" t="s">
        <v>239</v>
      </c>
      <c r="G115" s="90" t="s">
        <v>276</v>
      </c>
      <c r="H115" s="80" t="s">
        <v>207</v>
      </c>
      <c r="I115" s="81">
        <v>31040</v>
      </c>
      <c r="J115" s="81">
        <f t="shared" si="1"/>
        <v>517.33333333333337</v>
      </c>
      <c r="K115" s="80">
        <v>14899.2</v>
      </c>
      <c r="L115" s="80">
        <v>11174.4</v>
      </c>
      <c r="M115" s="80">
        <v>684.65</v>
      </c>
      <c r="N115" s="80">
        <v>0</v>
      </c>
      <c r="O115" s="80">
        <v>3040.15</v>
      </c>
      <c r="P115" s="82">
        <f>BD_LUCRO[[#This Row],[Lucro Líq.]]/BD_LUCRO[[#This Row],[Sacas/Ton]]</f>
        <v>5.8765786082474225</v>
      </c>
    </row>
    <row r="116" spans="1:16" x14ac:dyDescent="0.25">
      <c r="A116" s="97" t="s">
        <v>355</v>
      </c>
      <c r="B116" s="77">
        <v>2025</v>
      </c>
      <c r="C116" s="78">
        <v>45658</v>
      </c>
      <c r="D116" s="90" t="s">
        <v>356</v>
      </c>
      <c r="E116" s="79" t="s">
        <v>92</v>
      </c>
      <c r="F116" s="79" t="s">
        <v>92</v>
      </c>
      <c r="G116" s="90" t="s">
        <v>357</v>
      </c>
      <c r="H116" s="80" t="s">
        <v>358</v>
      </c>
      <c r="I116" s="81">
        <v>31000</v>
      </c>
      <c r="J116" s="81">
        <f t="shared" si="1"/>
        <v>516.66666666666663</v>
      </c>
      <c r="K116" s="80">
        <v>0</v>
      </c>
      <c r="L116" s="80">
        <v>0</v>
      </c>
      <c r="M116" s="80">
        <v>0</v>
      </c>
      <c r="N116" s="80">
        <v>0</v>
      </c>
      <c r="O116" s="80">
        <v>-10650.36</v>
      </c>
      <c r="P116" s="82">
        <f>BD_LUCRO[[#This Row],[Lucro Líq.]]/BD_LUCRO[[#This Row],[Sacas/Ton]]</f>
        <v>-20.613600000000002</v>
      </c>
    </row>
    <row r="117" spans="1:16" x14ac:dyDescent="0.25">
      <c r="A117" s="97" t="s">
        <v>355</v>
      </c>
      <c r="B117" s="77">
        <v>2025</v>
      </c>
      <c r="C117" s="78">
        <v>45689</v>
      </c>
      <c r="D117" s="90" t="s">
        <v>359</v>
      </c>
      <c r="E117" s="79" t="s">
        <v>92</v>
      </c>
      <c r="F117" s="79" t="s">
        <v>92</v>
      </c>
      <c r="G117" s="90" t="s">
        <v>228</v>
      </c>
      <c r="H117" s="80" t="s">
        <v>230</v>
      </c>
      <c r="I117" s="81">
        <v>5500</v>
      </c>
      <c r="J117" s="81">
        <f t="shared" si="1"/>
        <v>91.666666666666671</v>
      </c>
      <c r="K117" s="80">
        <v>0</v>
      </c>
      <c r="L117" s="80">
        <v>0</v>
      </c>
      <c r="M117" s="80">
        <v>660</v>
      </c>
      <c r="N117" s="80">
        <v>0</v>
      </c>
      <c r="O117" s="80">
        <v>-35741.01</v>
      </c>
      <c r="P117" s="82">
        <f>BD_LUCRO[[#This Row],[Lucro Líq.]]/BD_LUCRO[[#This Row],[Sacas/Ton]]</f>
        <v>-389.90192727272728</v>
      </c>
    </row>
    <row r="118" spans="1:16" x14ac:dyDescent="0.25">
      <c r="A118" s="97" t="s">
        <v>355</v>
      </c>
      <c r="B118" s="77">
        <v>2025</v>
      </c>
      <c r="C118" s="78">
        <v>45809</v>
      </c>
      <c r="D118" s="90" t="s">
        <v>92</v>
      </c>
      <c r="E118" s="79" t="s">
        <v>360</v>
      </c>
      <c r="F118" s="79" t="s">
        <v>361</v>
      </c>
      <c r="G118" s="90" t="s">
        <v>92</v>
      </c>
      <c r="H118" s="80" t="s">
        <v>173</v>
      </c>
      <c r="I118" s="81">
        <v>83300</v>
      </c>
      <c r="J118" s="81">
        <f t="shared" si="1"/>
        <v>1388.3333333333333</v>
      </c>
      <c r="K118" s="80">
        <v>0</v>
      </c>
      <c r="L118" s="80">
        <v>18897.11</v>
      </c>
      <c r="M118" s="80">
        <v>-21702.76</v>
      </c>
      <c r="N118" s="80">
        <v>0</v>
      </c>
      <c r="O118" s="80">
        <v>0</v>
      </c>
      <c r="P118" s="82">
        <f>BD_LUCRO[[#This Row],[Lucro Líq.]]/BD_LUCRO[[#This Row],[Sacas/Ton]]</f>
        <v>0</v>
      </c>
    </row>
    <row r="119" spans="1:16" x14ac:dyDescent="0.25">
      <c r="A119" s="97" t="s">
        <v>355</v>
      </c>
      <c r="B119" s="77">
        <v>2025</v>
      </c>
      <c r="C119" s="78">
        <v>45839</v>
      </c>
      <c r="D119" s="90" t="s">
        <v>92</v>
      </c>
      <c r="E119" s="79" t="s">
        <v>362</v>
      </c>
      <c r="F119" s="79" t="s">
        <v>363</v>
      </c>
      <c r="G119" s="90" t="s">
        <v>92</v>
      </c>
      <c r="H119" s="80" t="s">
        <v>173</v>
      </c>
      <c r="I119" s="81">
        <v>30380</v>
      </c>
      <c r="J119" s="81">
        <f t="shared" si="1"/>
        <v>506.33333333333331</v>
      </c>
      <c r="K119" s="80">
        <v>0</v>
      </c>
      <c r="L119" s="80">
        <v>6791.15</v>
      </c>
      <c r="M119" s="80">
        <v>-2760.77</v>
      </c>
      <c r="N119" s="80">
        <v>0</v>
      </c>
      <c r="O119" s="80">
        <v>0</v>
      </c>
      <c r="P119" s="82">
        <f>BD_LUCRO[[#This Row],[Lucro Líq.]]/BD_LUCRO[[#This Row],[Sacas/Ton]]</f>
        <v>0</v>
      </c>
    </row>
    <row r="120" spans="1:16" x14ac:dyDescent="0.25">
      <c r="A120" s="97" t="s">
        <v>355</v>
      </c>
      <c r="B120" s="77">
        <v>2025</v>
      </c>
      <c r="C120" s="78">
        <v>45839</v>
      </c>
      <c r="D120" s="90" t="s">
        <v>92</v>
      </c>
      <c r="E120" s="79" t="s">
        <v>360</v>
      </c>
      <c r="F120" s="79" t="s">
        <v>361</v>
      </c>
      <c r="G120" s="90" t="s">
        <v>92</v>
      </c>
      <c r="H120" s="80" t="s">
        <v>173</v>
      </c>
      <c r="I120" s="81">
        <v>227860</v>
      </c>
      <c r="J120" s="81">
        <f t="shared" si="1"/>
        <v>3797.6666666666665</v>
      </c>
      <c r="K120" s="80">
        <v>0</v>
      </c>
      <c r="L120" s="80">
        <v>50636.46</v>
      </c>
      <c r="M120" s="80">
        <v>-58690.52</v>
      </c>
      <c r="N120" s="80">
        <v>0</v>
      </c>
      <c r="O120" s="80">
        <v>0</v>
      </c>
      <c r="P120" s="82">
        <f>BD_LUCRO[[#This Row],[Lucro Líq.]]/BD_LUCRO[[#This Row],[Sacas/Ton]]</f>
        <v>0</v>
      </c>
    </row>
    <row r="121" spans="1:16" x14ac:dyDescent="0.25">
      <c r="A121" s="97" t="s">
        <v>355</v>
      </c>
      <c r="B121" s="77">
        <v>2025</v>
      </c>
      <c r="C121" s="78">
        <v>45839</v>
      </c>
      <c r="D121" s="90" t="s">
        <v>92</v>
      </c>
      <c r="E121" s="79" t="s">
        <v>364</v>
      </c>
      <c r="F121" s="79" t="s">
        <v>361</v>
      </c>
      <c r="G121" s="90" t="s">
        <v>92</v>
      </c>
      <c r="H121" s="80" t="s">
        <v>173</v>
      </c>
      <c r="I121" s="81">
        <v>75820</v>
      </c>
      <c r="J121" s="81">
        <f t="shared" si="1"/>
        <v>1263.6666666666667</v>
      </c>
      <c r="K121" s="80">
        <v>0</v>
      </c>
      <c r="L121" s="80">
        <v>18704</v>
      </c>
      <c r="M121" s="80">
        <v>-8428.89</v>
      </c>
      <c r="N121" s="80">
        <v>0</v>
      </c>
      <c r="O121" s="80">
        <v>0</v>
      </c>
      <c r="P121" s="82">
        <f>BD_LUCRO[[#This Row],[Lucro Líq.]]/BD_LUCRO[[#This Row],[Sacas/Ton]]</f>
        <v>0</v>
      </c>
    </row>
    <row r="122" spans="1:16" x14ac:dyDescent="0.25">
      <c r="A122" s="97" t="s">
        <v>355</v>
      </c>
      <c r="B122" s="77">
        <v>2025</v>
      </c>
      <c r="C122" s="78">
        <v>45870</v>
      </c>
      <c r="D122" s="90" t="s">
        <v>92</v>
      </c>
      <c r="E122" s="79" t="s">
        <v>365</v>
      </c>
      <c r="F122" s="79" t="s">
        <v>366</v>
      </c>
      <c r="G122" s="90" t="s">
        <v>92</v>
      </c>
      <c r="H122" s="80" t="s">
        <v>173</v>
      </c>
      <c r="I122" s="81">
        <v>229980</v>
      </c>
      <c r="J122" s="81">
        <f t="shared" si="1"/>
        <v>3833</v>
      </c>
      <c r="K122" s="80">
        <v>0</v>
      </c>
      <c r="L122" s="80">
        <v>0</v>
      </c>
      <c r="M122" s="80">
        <v>0</v>
      </c>
      <c r="N122" s="80">
        <v>0</v>
      </c>
      <c r="O122" s="80">
        <v>0</v>
      </c>
      <c r="P122" s="82">
        <f>BD_LUCRO[[#This Row],[Lucro Líq.]]/BD_LUCRO[[#This Row],[Sacas/Ton]]</f>
        <v>0</v>
      </c>
    </row>
    <row r="123" spans="1:16" x14ac:dyDescent="0.25">
      <c r="A123" s="97" t="s">
        <v>355</v>
      </c>
      <c r="B123" s="77">
        <v>2025</v>
      </c>
      <c r="C123" s="78">
        <v>45870</v>
      </c>
      <c r="D123" s="90" t="s">
        <v>367</v>
      </c>
      <c r="E123" s="79" t="s">
        <v>92</v>
      </c>
      <c r="F123" s="79" t="s">
        <v>92</v>
      </c>
      <c r="G123" s="90" t="s">
        <v>368</v>
      </c>
      <c r="H123" s="80" t="s">
        <v>173</v>
      </c>
      <c r="I123" s="81">
        <v>17100</v>
      </c>
      <c r="J123" s="81">
        <f t="shared" si="1"/>
        <v>285</v>
      </c>
      <c r="K123" s="80">
        <v>0</v>
      </c>
      <c r="L123" s="80">
        <v>0</v>
      </c>
      <c r="M123" s="80">
        <v>0</v>
      </c>
      <c r="N123" s="80">
        <v>0</v>
      </c>
      <c r="O123" s="80">
        <v>-47387.78</v>
      </c>
      <c r="P123" s="82">
        <f>BD_LUCRO[[#This Row],[Lucro Líq.]]/BD_LUCRO[[#This Row],[Sacas/Ton]]</f>
        <v>-166.27291228070175</v>
      </c>
    </row>
    <row r="124" spans="1:16" x14ac:dyDescent="0.25">
      <c r="A124" s="97" t="s">
        <v>355</v>
      </c>
      <c r="B124" s="77">
        <v>2025</v>
      </c>
      <c r="C124" s="78">
        <v>45901</v>
      </c>
      <c r="D124" s="90" t="s">
        <v>92</v>
      </c>
      <c r="E124" s="79" t="s">
        <v>369</v>
      </c>
      <c r="F124" s="79" t="s">
        <v>370</v>
      </c>
      <c r="G124" s="90" t="s">
        <v>92</v>
      </c>
      <c r="H124" s="80" t="s">
        <v>179</v>
      </c>
      <c r="I124" s="81">
        <v>200000</v>
      </c>
      <c r="J124" s="81">
        <f t="shared" si="1"/>
        <v>3333.3333333333335</v>
      </c>
      <c r="K124" s="80">
        <v>0</v>
      </c>
      <c r="L124" s="80">
        <v>0</v>
      </c>
      <c r="M124" s="80">
        <v>0</v>
      </c>
      <c r="N124" s="80">
        <v>0</v>
      </c>
      <c r="O124" s="80">
        <v>0</v>
      </c>
      <c r="P124" s="82">
        <f>BD_LUCRO[[#This Row],[Lucro Líq.]]/BD_LUCRO[[#This Row],[Sacas/Ton]]</f>
        <v>0</v>
      </c>
    </row>
    <row r="125" spans="1:16" x14ac:dyDescent="0.25">
      <c r="A125" s="97" t="s">
        <v>355</v>
      </c>
      <c r="B125" s="77">
        <v>2025</v>
      </c>
      <c r="C125" s="78">
        <v>45839</v>
      </c>
      <c r="D125" s="90" t="s">
        <v>227</v>
      </c>
      <c r="E125" s="79" t="s">
        <v>92</v>
      </c>
      <c r="F125" s="79" t="s">
        <v>92</v>
      </c>
      <c r="G125" s="90" t="s">
        <v>368</v>
      </c>
      <c r="H125" s="80" t="s">
        <v>179</v>
      </c>
      <c r="I125" s="81">
        <v>31380</v>
      </c>
      <c r="J125" s="81">
        <f t="shared" si="1"/>
        <v>523</v>
      </c>
      <c r="K125" s="80">
        <v>0</v>
      </c>
      <c r="L125" s="80">
        <v>0</v>
      </c>
      <c r="M125" s="80">
        <v>0</v>
      </c>
      <c r="N125" s="80">
        <v>0</v>
      </c>
      <c r="O125" s="80">
        <v>-77002.28</v>
      </c>
      <c r="P125" s="82">
        <f>BD_LUCRO[[#This Row],[Lucro Líq.]]/BD_LUCRO[[#This Row],[Sacas/Ton]]</f>
        <v>-147.2318929254302</v>
      </c>
    </row>
    <row r="126" spans="1:16" x14ac:dyDescent="0.25">
      <c r="A126" s="97" t="s">
        <v>216</v>
      </c>
      <c r="B126" s="77">
        <v>2026</v>
      </c>
      <c r="C126" s="78">
        <v>46023</v>
      </c>
      <c r="D126" s="90" t="s">
        <v>325</v>
      </c>
      <c r="E126" s="79" t="s">
        <v>326</v>
      </c>
      <c r="F126" s="79" t="s">
        <v>327</v>
      </c>
      <c r="G126" s="90" t="s">
        <v>328</v>
      </c>
      <c r="H126" s="80" t="s">
        <v>215</v>
      </c>
      <c r="I126" s="81">
        <v>307700</v>
      </c>
      <c r="J126" s="81">
        <f t="shared" si="1"/>
        <v>5128.333333333333</v>
      </c>
      <c r="K126" s="80">
        <v>112163.33</v>
      </c>
      <c r="L126" s="80">
        <v>73904.800000000003</v>
      </c>
      <c r="M126" s="80">
        <v>7261.64</v>
      </c>
      <c r="N126" s="80">
        <v>1538.5</v>
      </c>
      <c r="O126" s="80">
        <v>26899.89</v>
      </c>
      <c r="P126" s="82">
        <f>BD_LUCRO[[#This Row],[Lucro Líq.]]/BD_LUCRO[[#This Row],[Sacas/Ton]]</f>
        <v>5.2453474163145923</v>
      </c>
    </row>
    <row r="127" spans="1:16" x14ac:dyDescent="0.25">
      <c r="A127" s="97" t="s">
        <v>216</v>
      </c>
      <c r="B127" s="77">
        <v>2026</v>
      </c>
      <c r="C127" s="78">
        <v>46023</v>
      </c>
      <c r="D127" s="90" t="s">
        <v>371</v>
      </c>
      <c r="E127" s="79" t="s">
        <v>372</v>
      </c>
      <c r="F127" s="79" t="s">
        <v>206</v>
      </c>
      <c r="G127" s="90" t="s">
        <v>295</v>
      </c>
      <c r="H127" s="80" t="s">
        <v>207</v>
      </c>
      <c r="I127" s="81">
        <v>117860</v>
      </c>
      <c r="J127" s="81">
        <f t="shared" si="1"/>
        <v>1964.3333333333333</v>
      </c>
      <c r="K127" s="80">
        <v>45752.6</v>
      </c>
      <c r="L127" s="80">
        <v>29155</v>
      </c>
      <c r="M127" s="80">
        <v>3988.38</v>
      </c>
      <c r="N127" s="80">
        <v>2357.1999999999998</v>
      </c>
      <c r="O127" s="80">
        <v>9152.7199999999993</v>
      </c>
      <c r="P127" s="82">
        <f>BD_LUCRO[[#This Row],[Lucro Líq.]]/BD_LUCRO[[#This Row],[Sacas/Ton]]</f>
        <v>4.6594535890039026</v>
      </c>
    </row>
    <row r="128" spans="1:16" x14ac:dyDescent="0.25">
      <c r="A128" s="97" t="s">
        <v>216</v>
      </c>
      <c r="B128" s="77">
        <v>2026</v>
      </c>
      <c r="C128" s="78">
        <v>46023</v>
      </c>
      <c r="D128" s="90" t="s">
        <v>373</v>
      </c>
      <c r="E128" s="79" t="s">
        <v>374</v>
      </c>
      <c r="F128" s="79" t="s">
        <v>375</v>
      </c>
      <c r="G128" s="90" t="s">
        <v>48</v>
      </c>
      <c r="H128" s="80" t="s">
        <v>33</v>
      </c>
      <c r="I128" s="81">
        <v>43661</v>
      </c>
      <c r="J128" s="81">
        <f t="shared" si="1"/>
        <v>727.68333333333328</v>
      </c>
      <c r="K128" s="80">
        <v>19461.02</v>
      </c>
      <c r="L128" s="80">
        <v>0</v>
      </c>
      <c r="M128" s="80">
        <v>0</v>
      </c>
      <c r="N128" s="80">
        <v>727.68</v>
      </c>
      <c r="O128" s="80">
        <v>18733.330000000002</v>
      </c>
      <c r="P128" s="82">
        <f>BD_LUCRO[[#This Row],[Lucro Líq.]]/BD_LUCRO[[#This Row],[Sacas/Ton]]</f>
        <v>25.743794232839381</v>
      </c>
    </row>
    <row r="129" spans="1:16" x14ac:dyDescent="0.25">
      <c r="A129" s="97" t="s">
        <v>216</v>
      </c>
      <c r="B129" s="77">
        <v>2026</v>
      </c>
      <c r="C129" s="78">
        <v>46023</v>
      </c>
      <c r="D129" s="90" t="s">
        <v>373</v>
      </c>
      <c r="E129" s="79" t="s">
        <v>376</v>
      </c>
      <c r="F129" s="79" t="s">
        <v>377</v>
      </c>
      <c r="G129" s="90" t="s">
        <v>48</v>
      </c>
      <c r="H129" s="80" t="s">
        <v>33</v>
      </c>
      <c r="I129" s="81">
        <v>62088</v>
      </c>
      <c r="J129" s="81">
        <f t="shared" si="1"/>
        <v>1034.8</v>
      </c>
      <c r="K129" s="80">
        <v>17281.16</v>
      </c>
      <c r="L129" s="80">
        <v>0</v>
      </c>
      <c r="M129" s="80">
        <v>0</v>
      </c>
      <c r="N129" s="80">
        <v>4139.2</v>
      </c>
      <c r="O129" s="80">
        <v>13141.96</v>
      </c>
      <c r="P129" s="82">
        <f>BD_LUCRO[[#This Row],[Lucro Líq.]]/BD_LUCRO[[#This Row],[Sacas/Ton]]</f>
        <v>12.7</v>
      </c>
    </row>
    <row r="130" spans="1:16" x14ac:dyDescent="0.25">
      <c r="A130" s="97" t="s">
        <v>51</v>
      </c>
      <c r="B130" s="77">
        <v>2026</v>
      </c>
      <c r="C130" s="78">
        <v>46023</v>
      </c>
      <c r="D130" s="90" t="s">
        <v>380</v>
      </c>
      <c r="E130" s="79" t="s">
        <v>381</v>
      </c>
      <c r="F130" s="79" t="s">
        <v>382</v>
      </c>
      <c r="G130" s="90" t="s">
        <v>49</v>
      </c>
      <c r="H130" s="80" t="s">
        <v>33</v>
      </c>
      <c r="I130" s="81">
        <v>44136</v>
      </c>
      <c r="J130" s="81">
        <f t="shared" ref="J130:J193" si="2">I130/60</f>
        <v>735.6</v>
      </c>
      <c r="K130" s="80">
        <v>2721.72</v>
      </c>
      <c r="L130" s="80">
        <v>0</v>
      </c>
      <c r="M130" s="80">
        <v>0</v>
      </c>
      <c r="N130" s="80">
        <v>809.16</v>
      </c>
      <c r="O130" s="80">
        <v>1912.56</v>
      </c>
      <c r="P130" s="82">
        <f>BD_LUCRO[[#This Row],[Lucro Líq.]]/BD_LUCRO[[#This Row],[Sacas/Ton]]</f>
        <v>2.5999999999999996</v>
      </c>
    </row>
    <row r="131" spans="1:16" x14ac:dyDescent="0.25">
      <c r="A131" s="97" t="s">
        <v>51</v>
      </c>
      <c r="B131" s="77">
        <v>2026</v>
      </c>
      <c r="C131" s="78">
        <v>46023</v>
      </c>
      <c r="D131" s="90" t="s">
        <v>380</v>
      </c>
      <c r="E131" s="79" t="s">
        <v>383</v>
      </c>
      <c r="F131" s="79" t="s">
        <v>384</v>
      </c>
      <c r="G131" s="90" t="s">
        <v>49</v>
      </c>
      <c r="H131" s="80" t="s">
        <v>33</v>
      </c>
      <c r="I131" s="81">
        <v>39197</v>
      </c>
      <c r="J131" s="81">
        <f t="shared" si="2"/>
        <v>653.2833333333333</v>
      </c>
      <c r="K131" s="80">
        <v>3070.43</v>
      </c>
      <c r="L131" s="80">
        <v>0</v>
      </c>
      <c r="M131" s="80">
        <v>0</v>
      </c>
      <c r="N131" s="80">
        <v>551.11</v>
      </c>
      <c r="O131" s="80">
        <v>2519.3200000000002</v>
      </c>
      <c r="P131" s="82">
        <f>BD_LUCRO[[#This Row],[Lucro Líq.]]/BD_LUCRO[[#This Row],[Sacas/Ton]]</f>
        <v>3.8563971732530553</v>
      </c>
    </row>
    <row r="132" spans="1:16" x14ac:dyDescent="0.25">
      <c r="A132" s="97" t="s">
        <v>51</v>
      </c>
      <c r="B132" s="77">
        <v>2026</v>
      </c>
      <c r="C132" s="78">
        <v>46023</v>
      </c>
      <c r="D132" s="90" t="s">
        <v>380</v>
      </c>
      <c r="E132" s="79" t="s">
        <v>385</v>
      </c>
      <c r="F132" s="79" t="s">
        <v>52</v>
      </c>
      <c r="G132" s="90" t="s">
        <v>49</v>
      </c>
      <c r="H132" s="80" t="s">
        <v>33</v>
      </c>
      <c r="I132" s="81">
        <v>336667</v>
      </c>
      <c r="J132" s="81">
        <f t="shared" si="2"/>
        <v>5611.1166666666668</v>
      </c>
      <c r="K132" s="80">
        <v>166986.82999999999</v>
      </c>
      <c r="L132" s="80">
        <v>0</v>
      </c>
      <c r="M132" s="80">
        <v>0</v>
      </c>
      <c r="N132" s="80">
        <v>0</v>
      </c>
      <c r="O132" s="80">
        <v>166986.82999999999</v>
      </c>
      <c r="P132" s="82">
        <f>BD_LUCRO[[#This Row],[Lucro Líq.]]/BD_LUCRO[[#This Row],[Sacas/Ton]]</f>
        <v>29.759999643564708</v>
      </c>
    </row>
    <row r="133" spans="1:16" x14ac:dyDescent="0.25">
      <c r="A133" s="97" t="s">
        <v>51</v>
      </c>
      <c r="B133" s="77">
        <v>2026</v>
      </c>
      <c r="C133" s="78">
        <v>46023</v>
      </c>
      <c r="D133" s="90" t="s">
        <v>386</v>
      </c>
      <c r="E133" s="79" t="s">
        <v>387</v>
      </c>
      <c r="F133" s="79" t="s">
        <v>388</v>
      </c>
      <c r="G133" s="90" t="s">
        <v>49</v>
      </c>
      <c r="H133" s="80" t="s">
        <v>33</v>
      </c>
      <c r="I133" s="81">
        <v>60000</v>
      </c>
      <c r="J133" s="81">
        <f t="shared" si="2"/>
        <v>1000</v>
      </c>
      <c r="K133" s="80">
        <v>3700</v>
      </c>
      <c r="L133" s="80">
        <v>0</v>
      </c>
      <c r="M133" s="80">
        <v>0</v>
      </c>
      <c r="N133" s="80">
        <v>1100</v>
      </c>
      <c r="O133" s="80">
        <v>2600</v>
      </c>
      <c r="P133" s="82">
        <f>BD_LUCRO[[#This Row],[Lucro Líq.]]/BD_LUCRO[[#This Row],[Sacas/Ton]]</f>
        <v>2.6</v>
      </c>
    </row>
    <row r="134" spans="1:16" x14ac:dyDescent="0.25">
      <c r="A134" s="97" t="s">
        <v>51</v>
      </c>
      <c r="B134" s="77">
        <v>2026</v>
      </c>
      <c r="C134" s="78">
        <v>46023</v>
      </c>
      <c r="D134" s="90" t="s">
        <v>386</v>
      </c>
      <c r="E134" s="79" t="s">
        <v>389</v>
      </c>
      <c r="F134" s="79" t="s">
        <v>388</v>
      </c>
      <c r="G134" s="90" t="s">
        <v>49</v>
      </c>
      <c r="H134" s="80" t="s">
        <v>33</v>
      </c>
      <c r="I134" s="81">
        <v>33167</v>
      </c>
      <c r="J134" s="81">
        <f t="shared" si="2"/>
        <v>552.7833333333333</v>
      </c>
      <c r="K134" s="80">
        <v>4809.22</v>
      </c>
      <c r="L134" s="80">
        <v>0</v>
      </c>
      <c r="M134" s="80">
        <v>0</v>
      </c>
      <c r="N134" s="80">
        <v>630.16999999999996</v>
      </c>
      <c r="O134" s="80">
        <v>4179.04</v>
      </c>
      <c r="P134" s="82">
        <f>BD_LUCRO[[#This Row],[Lucro Líq.]]/BD_LUCRO[[#This Row],[Sacas/Ton]]</f>
        <v>7.5599963819459104</v>
      </c>
    </row>
    <row r="135" spans="1:16" x14ac:dyDescent="0.25">
      <c r="A135" s="97" t="s">
        <v>51</v>
      </c>
      <c r="B135" s="77">
        <v>2026</v>
      </c>
      <c r="C135" s="78">
        <v>46023</v>
      </c>
      <c r="D135" s="90" t="s">
        <v>386</v>
      </c>
      <c r="E135" s="79" t="s">
        <v>390</v>
      </c>
      <c r="F135" s="79" t="s">
        <v>384</v>
      </c>
      <c r="G135" s="90" t="s">
        <v>49</v>
      </c>
      <c r="H135" s="80" t="s">
        <v>33</v>
      </c>
      <c r="I135" s="81">
        <v>6030</v>
      </c>
      <c r="J135" s="81">
        <f t="shared" si="2"/>
        <v>100.5</v>
      </c>
      <c r="K135" s="80">
        <v>271.35000000000002</v>
      </c>
      <c r="L135" s="80">
        <v>0</v>
      </c>
      <c r="M135" s="80">
        <v>0</v>
      </c>
      <c r="N135" s="80">
        <v>84.78</v>
      </c>
      <c r="O135" s="80">
        <v>186.57</v>
      </c>
      <c r="P135" s="82">
        <f>BD_LUCRO[[#This Row],[Lucro Líq.]]/BD_LUCRO[[#This Row],[Sacas/Ton]]</f>
        <v>1.8564179104477612</v>
      </c>
    </row>
    <row r="136" spans="1:16" x14ac:dyDescent="0.25">
      <c r="A136" s="97" t="s">
        <v>51</v>
      </c>
      <c r="B136" s="77">
        <v>2026</v>
      </c>
      <c r="C136" s="78">
        <v>46023</v>
      </c>
      <c r="D136" s="90" t="s">
        <v>386</v>
      </c>
      <c r="E136" s="79" t="s">
        <v>383</v>
      </c>
      <c r="F136" s="79" t="s">
        <v>384</v>
      </c>
      <c r="G136" s="90" t="s">
        <v>49</v>
      </c>
      <c r="H136" s="80" t="s">
        <v>33</v>
      </c>
      <c r="I136" s="81">
        <v>80803</v>
      </c>
      <c r="J136" s="81">
        <f t="shared" si="2"/>
        <v>1346.7166666666667</v>
      </c>
      <c r="K136" s="80">
        <v>4982.8500000000004</v>
      </c>
      <c r="L136" s="80">
        <v>0</v>
      </c>
      <c r="M136" s="80">
        <v>0</v>
      </c>
      <c r="N136" s="80">
        <v>1136.0899999999999</v>
      </c>
      <c r="O136" s="80">
        <v>3846.76</v>
      </c>
      <c r="P136" s="82">
        <f>BD_LUCRO[[#This Row],[Lucro Líq.]]/BD_LUCRO[[#This Row],[Sacas/Ton]]</f>
        <v>2.8563988960805911</v>
      </c>
    </row>
    <row r="137" spans="1:16" x14ac:dyDescent="0.25">
      <c r="A137" s="97" t="s">
        <v>51</v>
      </c>
      <c r="B137" s="77">
        <v>2026</v>
      </c>
      <c r="C137" s="78">
        <v>46023</v>
      </c>
      <c r="D137" s="90" t="s">
        <v>391</v>
      </c>
      <c r="E137" s="79" t="s">
        <v>381</v>
      </c>
      <c r="F137" s="79" t="s">
        <v>382</v>
      </c>
      <c r="G137" s="90" t="s">
        <v>49</v>
      </c>
      <c r="H137" s="80" t="s">
        <v>33</v>
      </c>
      <c r="I137" s="81">
        <v>15864</v>
      </c>
      <c r="J137" s="81">
        <f t="shared" si="2"/>
        <v>264.39999999999998</v>
      </c>
      <c r="K137" s="80">
        <v>449.48</v>
      </c>
      <c r="L137" s="80">
        <v>0</v>
      </c>
      <c r="M137" s="80">
        <v>0</v>
      </c>
      <c r="N137" s="80">
        <v>290.83999999999997</v>
      </c>
      <c r="O137" s="80">
        <v>158.63999999999999</v>
      </c>
      <c r="P137" s="82">
        <f>BD_LUCRO[[#This Row],[Lucro Líq.]]/BD_LUCRO[[#This Row],[Sacas/Ton]]</f>
        <v>0.6</v>
      </c>
    </row>
    <row r="138" spans="1:16" x14ac:dyDescent="0.25">
      <c r="A138" s="97" t="s">
        <v>51</v>
      </c>
      <c r="B138" s="77">
        <v>2026</v>
      </c>
      <c r="C138" s="78">
        <v>46023</v>
      </c>
      <c r="D138" s="90" t="s">
        <v>391</v>
      </c>
      <c r="E138" s="79" t="s">
        <v>392</v>
      </c>
      <c r="F138" s="79" t="s">
        <v>382</v>
      </c>
      <c r="G138" s="90" t="s">
        <v>49</v>
      </c>
      <c r="H138" s="80" t="s">
        <v>33</v>
      </c>
      <c r="I138" s="81">
        <v>50166</v>
      </c>
      <c r="J138" s="81">
        <f t="shared" si="2"/>
        <v>836.1</v>
      </c>
      <c r="K138" s="80">
        <v>5016.6000000000004</v>
      </c>
      <c r="L138" s="80">
        <v>0</v>
      </c>
      <c r="M138" s="80">
        <v>0</v>
      </c>
      <c r="N138" s="80">
        <v>1414.55</v>
      </c>
      <c r="O138" s="80">
        <v>3602.05</v>
      </c>
      <c r="P138" s="82">
        <f>BD_LUCRO[[#This Row],[Lucro Líq.]]/BD_LUCRO[[#This Row],[Sacas/Ton]]</f>
        <v>4.308156919028824</v>
      </c>
    </row>
    <row r="139" spans="1:16" x14ac:dyDescent="0.25">
      <c r="A139" s="97" t="s">
        <v>51</v>
      </c>
      <c r="B139" s="77">
        <v>2026</v>
      </c>
      <c r="C139" s="78">
        <v>46023</v>
      </c>
      <c r="D139" s="90" t="s">
        <v>391</v>
      </c>
      <c r="E139" s="79" t="s">
        <v>390</v>
      </c>
      <c r="F139" s="79" t="s">
        <v>384</v>
      </c>
      <c r="G139" s="90" t="s">
        <v>49</v>
      </c>
      <c r="H139" s="80" t="s">
        <v>33</v>
      </c>
      <c r="I139" s="81">
        <v>53970</v>
      </c>
      <c r="J139" s="81">
        <f t="shared" si="2"/>
        <v>899.5</v>
      </c>
      <c r="K139" s="80">
        <v>1529.15</v>
      </c>
      <c r="L139" s="80">
        <v>0</v>
      </c>
      <c r="M139" s="80">
        <v>0</v>
      </c>
      <c r="N139" s="80">
        <v>758.82</v>
      </c>
      <c r="O139" s="80">
        <v>770.33</v>
      </c>
      <c r="P139" s="82">
        <f>BD_LUCRO[[#This Row],[Lucro Líq.]]/BD_LUCRO[[#This Row],[Sacas/Ton]]</f>
        <v>0.85639799888827128</v>
      </c>
    </row>
    <row r="140" spans="1:16" x14ac:dyDescent="0.25">
      <c r="A140" s="97" t="s">
        <v>51</v>
      </c>
      <c r="B140" s="77">
        <v>2026</v>
      </c>
      <c r="C140" s="78">
        <v>46023</v>
      </c>
      <c r="D140" s="90" t="s">
        <v>393</v>
      </c>
      <c r="E140" s="79" t="s">
        <v>392</v>
      </c>
      <c r="F140" s="79" t="s">
        <v>382</v>
      </c>
      <c r="G140" s="90" t="s">
        <v>49</v>
      </c>
      <c r="H140" s="80" t="s">
        <v>33</v>
      </c>
      <c r="I140" s="81">
        <v>21718</v>
      </c>
      <c r="J140" s="81">
        <f t="shared" si="2"/>
        <v>361.96666666666664</v>
      </c>
      <c r="K140" s="80">
        <v>760.13</v>
      </c>
      <c r="L140" s="80">
        <v>0</v>
      </c>
      <c r="M140" s="80">
        <v>0</v>
      </c>
      <c r="N140" s="80">
        <v>401.78</v>
      </c>
      <c r="O140" s="80">
        <v>358.35</v>
      </c>
      <c r="P140" s="82">
        <f>BD_LUCRO[[#This Row],[Lucro Líq.]]/BD_LUCRO[[#This Row],[Sacas/Ton]]</f>
        <v>0.9900082880559905</v>
      </c>
    </row>
    <row r="141" spans="1:16" x14ac:dyDescent="0.25">
      <c r="A141" s="97" t="s">
        <v>51</v>
      </c>
      <c r="B141" s="77">
        <v>2026</v>
      </c>
      <c r="C141" s="78">
        <v>46023</v>
      </c>
      <c r="D141" s="90" t="s">
        <v>393</v>
      </c>
      <c r="E141" s="79" t="s">
        <v>389</v>
      </c>
      <c r="F141" s="79" t="s">
        <v>388</v>
      </c>
      <c r="G141" s="90" t="s">
        <v>49</v>
      </c>
      <c r="H141" s="80" t="s">
        <v>33</v>
      </c>
      <c r="I141" s="81">
        <v>26833</v>
      </c>
      <c r="J141" s="81">
        <f t="shared" si="2"/>
        <v>447.21666666666664</v>
      </c>
      <c r="K141" s="80">
        <v>1699.42</v>
      </c>
      <c r="L141" s="80">
        <v>0</v>
      </c>
      <c r="M141" s="80">
        <v>0</v>
      </c>
      <c r="N141" s="80">
        <v>509.83</v>
      </c>
      <c r="O141" s="80">
        <v>1189.5999999999999</v>
      </c>
      <c r="P141" s="82">
        <f>BD_LUCRO[[#This Row],[Lucro Líq.]]/BD_LUCRO[[#This Row],[Sacas/Ton]]</f>
        <v>2.6600081988596131</v>
      </c>
    </row>
    <row r="142" spans="1:16" x14ac:dyDescent="0.25">
      <c r="A142" s="97" t="s">
        <v>51</v>
      </c>
      <c r="B142" s="77">
        <v>2026</v>
      </c>
      <c r="C142" s="78">
        <v>46023</v>
      </c>
      <c r="D142" s="90" t="s">
        <v>393</v>
      </c>
      <c r="E142" s="79" t="s">
        <v>394</v>
      </c>
      <c r="F142" s="79" t="s">
        <v>388</v>
      </c>
      <c r="G142" s="90" t="s">
        <v>49</v>
      </c>
      <c r="H142" s="80" t="s">
        <v>33</v>
      </c>
      <c r="I142" s="81">
        <v>11449</v>
      </c>
      <c r="J142" s="81">
        <f t="shared" si="2"/>
        <v>190.81666666666666</v>
      </c>
      <c r="K142" s="80">
        <v>1106.74</v>
      </c>
      <c r="L142" s="80">
        <v>0</v>
      </c>
      <c r="M142" s="80">
        <v>0</v>
      </c>
      <c r="N142" s="80">
        <v>183.18</v>
      </c>
      <c r="O142" s="80">
        <v>923.55</v>
      </c>
      <c r="P142" s="82">
        <f>BD_LUCRO[[#This Row],[Lucro Líq.]]/BD_LUCRO[[#This Row],[Sacas/Ton]]</f>
        <v>4.8399860249803472</v>
      </c>
    </row>
    <row r="143" spans="1:16" x14ac:dyDescent="0.25">
      <c r="A143" s="97" t="s">
        <v>51</v>
      </c>
      <c r="B143" s="77">
        <v>2026</v>
      </c>
      <c r="C143" s="78">
        <v>46023</v>
      </c>
      <c r="D143" s="90" t="s">
        <v>395</v>
      </c>
      <c r="E143" s="79" t="s">
        <v>392</v>
      </c>
      <c r="F143" s="79" t="s">
        <v>382</v>
      </c>
      <c r="G143" s="90" t="s">
        <v>49</v>
      </c>
      <c r="H143" s="80" t="s">
        <v>33</v>
      </c>
      <c r="I143" s="81">
        <v>5924</v>
      </c>
      <c r="J143" s="81">
        <f t="shared" si="2"/>
        <v>98.733333333333334</v>
      </c>
      <c r="K143" s="80">
        <v>-49.37</v>
      </c>
      <c r="L143" s="80">
        <v>0</v>
      </c>
      <c r="M143" s="80">
        <v>0</v>
      </c>
      <c r="N143" s="80">
        <v>109.59</v>
      </c>
      <c r="O143" s="80">
        <v>-158.96</v>
      </c>
      <c r="P143" s="82">
        <f>BD_LUCRO[[#This Row],[Lucro Líq.]]/BD_LUCRO[[#This Row],[Sacas/Ton]]</f>
        <v>-1.6099932478055368</v>
      </c>
    </row>
    <row r="144" spans="1:16" x14ac:dyDescent="0.25">
      <c r="A144" s="97" t="s">
        <v>51</v>
      </c>
      <c r="B144" s="77">
        <v>2026</v>
      </c>
      <c r="C144" s="78">
        <v>46023</v>
      </c>
      <c r="D144" s="90" t="s">
        <v>395</v>
      </c>
      <c r="E144" s="79" t="s">
        <v>394</v>
      </c>
      <c r="F144" s="79" t="s">
        <v>388</v>
      </c>
      <c r="G144" s="90" t="s">
        <v>49</v>
      </c>
      <c r="H144" s="80" t="s">
        <v>33</v>
      </c>
      <c r="I144" s="81">
        <v>54076</v>
      </c>
      <c r="J144" s="81">
        <f t="shared" si="2"/>
        <v>901.26666666666665</v>
      </c>
      <c r="K144" s="80">
        <v>2884.05</v>
      </c>
      <c r="L144" s="80">
        <v>0</v>
      </c>
      <c r="M144" s="80">
        <v>0</v>
      </c>
      <c r="N144" s="80">
        <v>865.22</v>
      </c>
      <c r="O144" s="80">
        <v>2018.84</v>
      </c>
      <c r="P144" s="82">
        <f>BD_LUCRO[[#This Row],[Lucro Líq.]]/BD_LUCRO[[#This Row],[Sacas/Ton]]</f>
        <v>2.2400029587987276</v>
      </c>
    </row>
    <row r="145" spans="1:16" x14ac:dyDescent="0.25">
      <c r="A145" s="97" t="s">
        <v>51</v>
      </c>
      <c r="B145" s="77">
        <v>2026</v>
      </c>
      <c r="C145" s="78">
        <v>46023</v>
      </c>
      <c r="D145" s="90" t="s">
        <v>396</v>
      </c>
      <c r="E145" s="79" t="s">
        <v>392</v>
      </c>
      <c r="F145" s="79" t="s">
        <v>382</v>
      </c>
      <c r="G145" s="90" t="s">
        <v>49</v>
      </c>
      <c r="H145" s="80" t="s">
        <v>33</v>
      </c>
      <c r="I145" s="81">
        <v>34453</v>
      </c>
      <c r="J145" s="81">
        <f t="shared" si="2"/>
        <v>574.2166666666667</v>
      </c>
      <c r="K145" s="80">
        <v>1435.54</v>
      </c>
      <c r="L145" s="80">
        <v>0</v>
      </c>
      <c r="M145" s="80">
        <v>0</v>
      </c>
      <c r="N145" s="80">
        <v>637.38</v>
      </c>
      <c r="O145" s="80">
        <v>798.16</v>
      </c>
      <c r="P145" s="82">
        <f>BD_LUCRO[[#This Row],[Lucro Líq.]]/BD_LUCRO[[#This Row],[Sacas/Ton]]</f>
        <v>1.3899979682465966</v>
      </c>
    </row>
    <row r="146" spans="1:16" x14ac:dyDescent="0.25">
      <c r="A146" s="97" t="s">
        <v>51</v>
      </c>
      <c r="B146" s="77">
        <v>2026</v>
      </c>
      <c r="C146" s="78">
        <v>46054</v>
      </c>
      <c r="D146" s="90" t="s">
        <v>92</v>
      </c>
      <c r="E146" s="79" t="s">
        <v>397</v>
      </c>
      <c r="F146" s="79" t="s">
        <v>398</v>
      </c>
      <c r="G146" s="90" t="s">
        <v>92</v>
      </c>
      <c r="H146" s="80" t="s">
        <v>179</v>
      </c>
      <c r="I146" s="81">
        <v>43100</v>
      </c>
      <c r="J146" s="81">
        <f t="shared" si="2"/>
        <v>718.33333333333337</v>
      </c>
      <c r="K146" s="80">
        <v>0</v>
      </c>
      <c r="L146" s="80">
        <v>0</v>
      </c>
      <c r="M146" s="80">
        <v>0</v>
      </c>
      <c r="N146" s="80">
        <v>0</v>
      </c>
      <c r="O146" s="80">
        <v>0</v>
      </c>
      <c r="P146" s="82">
        <f>BD_LUCRO[[#This Row],[Lucro Líq.]]/BD_LUCRO[[#This Row],[Sacas/Ton]]</f>
        <v>0</v>
      </c>
    </row>
    <row r="147" spans="1:16" x14ac:dyDescent="0.25">
      <c r="A147" s="97" t="s">
        <v>51</v>
      </c>
      <c r="B147" s="77">
        <v>2026</v>
      </c>
      <c r="C147" s="78">
        <v>46054</v>
      </c>
      <c r="D147" s="90" t="s">
        <v>399</v>
      </c>
      <c r="E147" s="79" t="s">
        <v>385</v>
      </c>
      <c r="F147" s="79" t="s">
        <v>52</v>
      </c>
      <c r="G147" s="90" t="s">
        <v>53</v>
      </c>
      <c r="H147" s="80" t="s">
        <v>33</v>
      </c>
      <c r="I147" s="81">
        <v>891225</v>
      </c>
      <c r="J147" s="81">
        <f t="shared" si="2"/>
        <v>14853.75</v>
      </c>
      <c r="K147" s="80">
        <v>306700.23</v>
      </c>
      <c r="L147" s="80">
        <v>0</v>
      </c>
      <c r="M147" s="80">
        <v>0</v>
      </c>
      <c r="N147" s="80">
        <v>0</v>
      </c>
      <c r="O147" s="80">
        <v>306700.23</v>
      </c>
      <c r="P147" s="82">
        <f>BD_LUCRO[[#This Row],[Lucro Líq.]]/BD_LUCRO[[#This Row],[Sacas/Ton]]</f>
        <v>20.648</v>
      </c>
    </row>
    <row r="148" spans="1:16" x14ac:dyDescent="0.25">
      <c r="A148" s="97" t="s">
        <v>216</v>
      </c>
      <c r="B148" s="77">
        <v>2026</v>
      </c>
      <c r="C148" s="78">
        <v>46054</v>
      </c>
      <c r="D148" s="90" t="s">
        <v>371</v>
      </c>
      <c r="E148" s="79" t="s">
        <v>372</v>
      </c>
      <c r="F148" s="79" t="s">
        <v>206</v>
      </c>
      <c r="G148" s="90" t="s">
        <v>295</v>
      </c>
      <c r="H148" s="80" t="s">
        <v>207</v>
      </c>
      <c r="I148" s="81">
        <v>37240</v>
      </c>
      <c r="J148" s="81">
        <f t="shared" si="2"/>
        <v>620.66666666666663</v>
      </c>
      <c r="K148" s="80">
        <v>14497</v>
      </c>
      <c r="L148" s="80">
        <v>9235</v>
      </c>
      <c r="M148" s="80">
        <v>1260.2</v>
      </c>
      <c r="N148" s="80">
        <v>744.8</v>
      </c>
      <c r="O148" s="80">
        <v>2910.8</v>
      </c>
      <c r="P148" s="82">
        <f>BD_LUCRO[[#This Row],[Lucro Líq.]]/BD_LUCRO[[#This Row],[Sacas/Ton]]</f>
        <v>4.6897959183673477</v>
      </c>
    </row>
    <row r="149" spans="1:16" x14ac:dyDescent="0.25">
      <c r="A149" s="97" t="s">
        <v>216</v>
      </c>
      <c r="B149" s="77">
        <v>2026</v>
      </c>
      <c r="C149" s="78">
        <v>46054</v>
      </c>
      <c r="D149" s="90" t="s">
        <v>371</v>
      </c>
      <c r="E149" s="79" t="s">
        <v>400</v>
      </c>
      <c r="F149" s="79" t="s">
        <v>206</v>
      </c>
      <c r="G149" s="90" t="s">
        <v>295</v>
      </c>
      <c r="H149" s="80" t="s">
        <v>207</v>
      </c>
      <c r="I149" s="81">
        <v>72460</v>
      </c>
      <c r="J149" s="81">
        <f t="shared" si="2"/>
        <v>1207.6666666666667</v>
      </c>
      <c r="K149" s="80">
        <v>28365.8</v>
      </c>
      <c r="L149" s="80">
        <v>19454.2</v>
      </c>
      <c r="M149" s="80">
        <v>2278.14</v>
      </c>
      <c r="N149" s="80">
        <v>1449.2</v>
      </c>
      <c r="O149" s="80">
        <v>4491.96</v>
      </c>
      <c r="P149" s="82">
        <f>BD_LUCRO[[#This Row],[Lucro Líq.]]/BD_LUCRO[[#This Row],[Sacas/Ton]]</f>
        <v>3.7195362958873859</v>
      </c>
    </row>
    <row r="150" spans="1:16" x14ac:dyDescent="0.25">
      <c r="A150" s="97" t="s">
        <v>216</v>
      </c>
      <c r="B150" s="77">
        <v>2026</v>
      </c>
      <c r="C150" s="78">
        <v>46054</v>
      </c>
      <c r="D150" s="90" t="s">
        <v>373</v>
      </c>
      <c r="E150" s="79" t="s">
        <v>374</v>
      </c>
      <c r="F150" s="79" t="s">
        <v>375</v>
      </c>
      <c r="G150" s="90" t="s">
        <v>48</v>
      </c>
      <c r="H150" s="80" t="s">
        <v>33</v>
      </c>
      <c r="I150" s="81">
        <v>106339</v>
      </c>
      <c r="J150" s="81">
        <f t="shared" si="2"/>
        <v>1772.3166666666666</v>
      </c>
      <c r="K150" s="80">
        <v>47398.48</v>
      </c>
      <c r="L150" s="80">
        <v>0</v>
      </c>
      <c r="M150" s="80">
        <v>0</v>
      </c>
      <c r="N150" s="80">
        <v>1772.32</v>
      </c>
      <c r="O150" s="80">
        <v>45626.17</v>
      </c>
      <c r="P150" s="82">
        <f>BD_LUCRO[[#This Row],[Lucro Líq.]]/BD_LUCRO[[#This Row],[Sacas/Ton]]</f>
        <v>25.743802367898891</v>
      </c>
    </row>
    <row r="151" spans="1:16" x14ac:dyDescent="0.25">
      <c r="A151" s="97" t="s">
        <v>216</v>
      </c>
      <c r="B151" s="77">
        <v>2026</v>
      </c>
      <c r="C151" s="78">
        <v>46054</v>
      </c>
      <c r="D151" s="90" t="s">
        <v>373</v>
      </c>
      <c r="E151" s="79" t="s">
        <v>401</v>
      </c>
      <c r="F151" s="79" t="s">
        <v>375</v>
      </c>
      <c r="G151" s="90" t="s">
        <v>48</v>
      </c>
      <c r="H151" s="80" t="s">
        <v>33</v>
      </c>
      <c r="I151" s="81">
        <v>7211</v>
      </c>
      <c r="J151" s="81">
        <f t="shared" si="2"/>
        <v>120.18333333333334</v>
      </c>
      <c r="K151" s="80">
        <v>2007.06</v>
      </c>
      <c r="L151" s="80">
        <v>0</v>
      </c>
      <c r="M151" s="80">
        <v>0</v>
      </c>
      <c r="N151" s="80">
        <v>600.91999999999996</v>
      </c>
      <c r="O151" s="80">
        <v>1406.15</v>
      </c>
      <c r="P151" s="82">
        <f>BD_LUCRO[[#This Row],[Lucro Líq.]]/BD_LUCRO[[#This Row],[Sacas/Ton]]</f>
        <v>11.700041603106365</v>
      </c>
    </row>
    <row r="152" spans="1:16" x14ac:dyDescent="0.25">
      <c r="A152" s="97" t="s">
        <v>216</v>
      </c>
      <c r="B152" s="77">
        <v>2026</v>
      </c>
      <c r="C152" s="78">
        <v>46054</v>
      </c>
      <c r="D152" s="90" t="s">
        <v>373</v>
      </c>
      <c r="E152" s="79" t="s">
        <v>402</v>
      </c>
      <c r="F152" s="79" t="s">
        <v>377</v>
      </c>
      <c r="G152" s="90" t="s">
        <v>48</v>
      </c>
      <c r="H152" s="80" t="s">
        <v>33</v>
      </c>
      <c r="I152" s="81">
        <v>63543</v>
      </c>
      <c r="J152" s="81">
        <f t="shared" si="2"/>
        <v>1059.05</v>
      </c>
      <c r="K152" s="80">
        <v>17686.14</v>
      </c>
      <c r="L152" s="80">
        <v>0</v>
      </c>
      <c r="M152" s="80">
        <v>0</v>
      </c>
      <c r="N152" s="80">
        <v>1175.55</v>
      </c>
      <c r="O152" s="80">
        <v>16510.59</v>
      </c>
      <c r="P152" s="82">
        <f>BD_LUCRO[[#This Row],[Lucro Líq.]]/BD_LUCRO[[#This Row],[Sacas/Ton]]</f>
        <v>15.590000472121242</v>
      </c>
    </row>
    <row r="153" spans="1:16" x14ac:dyDescent="0.25">
      <c r="A153" s="97" t="s">
        <v>216</v>
      </c>
      <c r="B153" s="77">
        <v>2026</v>
      </c>
      <c r="C153" s="78">
        <v>46054</v>
      </c>
      <c r="D153" s="90" t="s">
        <v>373</v>
      </c>
      <c r="E153" s="79" t="s">
        <v>403</v>
      </c>
      <c r="F153" s="79" t="s">
        <v>377</v>
      </c>
      <c r="G153" s="90" t="s">
        <v>48</v>
      </c>
      <c r="H153" s="80" t="s">
        <v>33</v>
      </c>
      <c r="I153" s="81">
        <v>17158</v>
      </c>
      <c r="J153" s="81">
        <f t="shared" si="2"/>
        <v>285.96666666666664</v>
      </c>
      <c r="K153" s="80">
        <v>4775.6400000000003</v>
      </c>
      <c r="L153" s="80">
        <v>0</v>
      </c>
      <c r="M153" s="80">
        <v>0</v>
      </c>
      <c r="N153" s="80">
        <v>285.97000000000003</v>
      </c>
      <c r="O153" s="80">
        <v>4489.68</v>
      </c>
      <c r="P153" s="82">
        <f>BD_LUCRO[[#This Row],[Lucro Líq.]]/BD_LUCRO[[#This Row],[Sacas/Ton]]</f>
        <v>15.70001165637021</v>
      </c>
    </row>
    <row r="154" spans="1:16" x14ac:dyDescent="0.25">
      <c r="A154" s="97" t="s">
        <v>216</v>
      </c>
      <c r="B154" s="77">
        <v>2026</v>
      </c>
      <c r="C154" s="78">
        <v>46054</v>
      </c>
      <c r="D154" s="90" t="s">
        <v>404</v>
      </c>
      <c r="E154" s="79" t="s">
        <v>405</v>
      </c>
      <c r="F154" s="79" t="s">
        <v>382</v>
      </c>
      <c r="G154" s="90" t="s">
        <v>49</v>
      </c>
      <c r="H154" s="80" t="s">
        <v>33</v>
      </c>
      <c r="I154" s="81">
        <v>492967</v>
      </c>
      <c r="J154" s="81">
        <f t="shared" si="2"/>
        <v>8216.1166666666668</v>
      </c>
      <c r="K154" s="80">
        <v>24648.35</v>
      </c>
      <c r="L154" s="80">
        <v>0</v>
      </c>
      <c r="M154" s="80">
        <v>0</v>
      </c>
      <c r="N154" s="80">
        <v>8216.1200000000008</v>
      </c>
      <c r="O154" s="80">
        <v>16432.23</v>
      </c>
      <c r="P154" s="82">
        <f>BD_LUCRO[[#This Row],[Lucro Líq.]]/BD_LUCRO[[#This Row],[Sacas/Ton]]</f>
        <v>1.99999959429333</v>
      </c>
    </row>
    <row r="155" spans="1:16" x14ac:dyDescent="0.25">
      <c r="A155" s="97" t="s">
        <v>216</v>
      </c>
      <c r="B155" s="77">
        <v>2026</v>
      </c>
      <c r="C155" s="78">
        <v>46054</v>
      </c>
      <c r="D155" s="90" t="s">
        <v>404</v>
      </c>
      <c r="E155" s="79" t="s">
        <v>406</v>
      </c>
      <c r="F155" s="79" t="s">
        <v>388</v>
      </c>
      <c r="G155" s="90" t="s">
        <v>49</v>
      </c>
      <c r="H155" s="80" t="s">
        <v>33</v>
      </c>
      <c r="I155" s="81">
        <v>44119</v>
      </c>
      <c r="J155" s="81">
        <f t="shared" si="2"/>
        <v>735.31666666666672</v>
      </c>
      <c r="K155" s="80">
        <v>3455.99</v>
      </c>
      <c r="L155" s="80">
        <v>0</v>
      </c>
      <c r="M155" s="80">
        <v>0</v>
      </c>
      <c r="N155" s="80">
        <v>882.38</v>
      </c>
      <c r="O155" s="80">
        <v>2573.61</v>
      </c>
      <c r="P155" s="82">
        <f>BD_LUCRO[[#This Row],[Lucro Líq.]]/BD_LUCRO[[#This Row],[Sacas/Ton]]</f>
        <v>3.5000022665971575</v>
      </c>
    </row>
    <row r="156" spans="1:16" x14ac:dyDescent="0.25">
      <c r="A156" s="97" t="s">
        <v>216</v>
      </c>
      <c r="B156" s="77">
        <v>2026</v>
      </c>
      <c r="C156" s="78">
        <v>46054</v>
      </c>
      <c r="D156" s="90" t="s">
        <v>404</v>
      </c>
      <c r="E156" s="79" t="s">
        <v>407</v>
      </c>
      <c r="F156" s="79" t="s">
        <v>408</v>
      </c>
      <c r="G156" s="90" t="s">
        <v>49</v>
      </c>
      <c r="H156" s="80" t="s">
        <v>33</v>
      </c>
      <c r="I156" s="81">
        <v>62914</v>
      </c>
      <c r="J156" s="81">
        <f t="shared" si="2"/>
        <v>1048.5666666666666</v>
      </c>
      <c r="K156" s="80">
        <v>20702.689999999999</v>
      </c>
      <c r="L156" s="80">
        <v>0</v>
      </c>
      <c r="M156" s="80">
        <v>0</v>
      </c>
      <c r="N156" s="80">
        <v>10485.67</v>
      </c>
      <c r="O156" s="80">
        <v>10217.02</v>
      </c>
      <c r="P156" s="82">
        <f>BD_LUCRO[[#This Row],[Lucro Líq.]]/BD_LUCRO[[#This Row],[Sacas/Ton]]</f>
        <v>9.7437962933528315</v>
      </c>
    </row>
    <row r="157" spans="1:16" x14ac:dyDescent="0.25">
      <c r="A157" s="97" t="s">
        <v>216</v>
      </c>
      <c r="B157" s="77">
        <v>2026</v>
      </c>
      <c r="C157" s="78">
        <v>46054</v>
      </c>
      <c r="D157" s="90" t="s">
        <v>409</v>
      </c>
      <c r="E157" s="79" t="s">
        <v>405</v>
      </c>
      <c r="F157" s="79" t="s">
        <v>382</v>
      </c>
      <c r="G157" s="90" t="s">
        <v>49</v>
      </c>
      <c r="H157" s="80" t="s">
        <v>33</v>
      </c>
      <c r="I157" s="81">
        <v>34416</v>
      </c>
      <c r="J157" s="81">
        <f t="shared" si="2"/>
        <v>573.6</v>
      </c>
      <c r="K157" s="80">
        <v>1720.8</v>
      </c>
      <c r="L157" s="80">
        <v>0</v>
      </c>
      <c r="M157" s="80">
        <v>0</v>
      </c>
      <c r="N157" s="80">
        <v>573.6</v>
      </c>
      <c r="O157" s="80">
        <v>1147.2</v>
      </c>
      <c r="P157" s="82">
        <f>BD_LUCRO[[#This Row],[Lucro Líq.]]/BD_LUCRO[[#This Row],[Sacas/Ton]]</f>
        <v>2</v>
      </c>
    </row>
    <row r="158" spans="1:16" x14ac:dyDescent="0.25">
      <c r="A158" s="97" t="s">
        <v>216</v>
      </c>
      <c r="B158" s="77">
        <v>2026</v>
      </c>
      <c r="C158" s="78">
        <v>46054</v>
      </c>
      <c r="D158" s="90" t="s">
        <v>409</v>
      </c>
      <c r="E158" s="79" t="s">
        <v>410</v>
      </c>
      <c r="F158" s="79" t="s">
        <v>411</v>
      </c>
      <c r="G158" s="90" t="s">
        <v>49</v>
      </c>
      <c r="H158" s="80" t="s">
        <v>33</v>
      </c>
      <c r="I158" s="81">
        <v>60000</v>
      </c>
      <c r="J158" s="81">
        <f t="shared" si="2"/>
        <v>1000</v>
      </c>
      <c r="K158" s="80">
        <v>19743.599999999999</v>
      </c>
      <c r="L158" s="80">
        <v>0</v>
      </c>
      <c r="M158" s="80">
        <v>0</v>
      </c>
      <c r="N158" s="80">
        <v>2000</v>
      </c>
      <c r="O158" s="80">
        <v>17743.599999999999</v>
      </c>
      <c r="P158" s="82">
        <f>BD_LUCRO[[#This Row],[Lucro Líq.]]/BD_LUCRO[[#This Row],[Sacas/Ton]]</f>
        <v>17.743599999999997</v>
      </c>
    </row>
    <row r="159" spans="1:16" x14ac:dyDescent="0.25">
      <c r="A159" s="97" t="s">
        <v>216</v>
      </c>
      <c r="B159" s="77">
        <v>2026</v>
      </c>
      <c r="C159" s="78">
        <v>46054</v>
      </c>
      <c r="D159" s="90" t="s">
        <v>409</v>
      </c>
      <c r="E159" s="79" t="s">
        <v>412</v>
      </c>
      <c r="F159" s="79" t="s">
        <v>411</v>
      </c>
      <c r="G159" s="90" t="s">
        <v>49</v>
      </c>
      <c r="H159" s="80" t="s">
        <v>33</v>
      </c>
      <c r="I159" s="81">
        <v>25584</v>
      </c>
      <c r="J159" s="81">
        <f t="shared" si="2"/>
        <v>426.4</v>
      </c>
      <c r="K159" s="80">
        <v>3411.2</v>
      </c>
      <c r="L159" s="80">
        <v>0</v>
      </c>
      <c r="M159" s="80">
        <v>0</v>
      </c>
      <c r="N159" s="80">
        <v>852.8</v>
      </c>
      <c r="O159" s="80">
        <v>2558.4</v>
      </c>
      <c r="P159" s="82">
        <f>BD_LUCRO[[#This Row],[Lucro Líq.]]/BD_LUCRO[[#This Row],[Sacas/Ton]]</f>
        <v>6.0000000000000009</v>
      </c>
    </row>
    <row r="160" spans="1:16" x14ac:dyDescent="0.25">
      <c r="A160" s="97" t="s">
        <v>216</v>
      </c>
      <c r="B160" s="77">
        <v>2026</v>
      </c>
      <c r="C160" s="78">
        <v>46054</v>
      </c>
      <c r="D160" s="90" t="s">
        <v>413</v>
      </c>
      <c r="E160" s="79" t="s">
        <v>406</v>
      </c>
      <c r="F160" s="79" t="s">
        <v>388</v>
      </c>
      <c r="G160" s="90" t="s">
        <v>49</v>
      </c>
      <c r="H160" s="80" t="s">
        <v>33</v>
      </c>
      <c r="I160" s="81">
        <v>65950</v>
      </c>
      <c r="J160" s="81">
        <f t="shared" si="2"/>
        <v>1099.1666666666667</v>
      </c>
      <c r="K160" s="80">
        <v>4066.92</v>
      </c>
      <c r="L160" s="80">
        <v>0</v>
      </c>
      <c r="M160" s="80">
        <v>0</v>
      </c>
      <c r="N160" s="80">
        <v>1319</v>
      </c>
      <c r="O160" s="80">
        <v>2747.92</v>
      </c>
      <c r="P160" s="82">
        <f>BD_LUCRO[[#This Row],[Lucro Líq.]]/BD_LUCRO[[#This Row],[Sacas/Ton]]</f>
        <v>2.5000030326004548</v>
      </c>
    </row>
    <row r="161" spans="1:16" x14ac:dyDescent="0.25">
      <c r="A161" s="97" t="s">
        <v>216</v>
      </c>
      <c r="B161" s="77">
        <v>2026</v>
      </c>
      <c r="C161" s="78">
        <v>46054</v>
      </c>
      <c r="D161" s="90" t="s">
        <v>413</v>
      </c>
      <c r="E161" s="79" t="s">
        <v>414</v>
      </c>
      <c r="F161" s="79" t="s">
        <v>415</v>
      </c>
      <c r="G161" s="90" t="s">
        <v>49</v>
      </c>
      <c r="H161" s="80" t="s">
        <v>33</v>
      </c>
      <c r="I161" s="81">
        <v>30000</v>
      </c>
      <c r="J161" s="81">
        <f t="shared" si="2"/>
        <v>500</v>
      </c>
      <c r="K161" s="80">
        <v>9371.9</v>
      </c>
      <c r="L161" s="80">
        <v>0</v>
      </c>
      <c r="M161" s="80">
        <v>0</v>
      </c>
      <c r="N161" s="80">
        <v>2500</v>
      </c>
      <c r="O161" s="80">
        <v>6871.9</v>
      </c>
      <c r="P161" s="82">
        <f>BD_LUCRO[[#This Row],[Lucro Líq.]]/BD_LUCRO[[#This Row],[Sacas/Ton]]</f>
        <v>13.743799999999998</v>
      </c>
    </row>
    <row r="162" spans="1:16" x14ac:dyDescent="0.25">
      <c r="A162" s="97" t="s">
        <v>216</v>
      </c>
      <c r="B162" s="77">
        <v>2026</v>
      </c>
      <c r="C162" s="78">
        <v>46054</v>
      </c>
      <c r="D162" s="90" t="s">
        <v>413</v>
      </c>
      <c r="E162" s="79" t="s">
        <v>416</v>
      </c>
      <c r="F162" s="79" t="s">
        <v>415</v>
      </c>
      <c r="G162" s="90" t="s">
        <v>49</v>
      </c>
      <c r="H162" s="80" t="s">
        <v>33</v>
      </c>
      <c r="I162" s="81">
        <v>24050</v>
      </c>
      <c r="J162" s="81">
        <f t="shared" si="2"/>
        <v>400.83333333333331</v>
      </c>
      <c r="K162" s="80">
        <v>2685.58</v>
      </c>
      <c r="L162" s="80">
        <v>0</v>
      </c>
      <c r="M162" s="80">
        <v>0</v>
      </c>
      <c r="N162" s="80">
        <v>801.67</v>
      </c>
      <c r="O162" s="80">
        <v>1883.92</v>
      </c>
      <c r="P162" s="82">
        <f>BD_LUCRO[[#This Row],[Lucro Líq.]]/BD_LUCRO[[#This Row],[Sacas/Ton]]</f>
        <v>4.7000083160083168</v>
      </c>
    </row>
    <row r="163" spans="1:16" x14ac:dyDescent="0.25">
      <c r="A163" s="97" t="s">
        <v>216</v>
      </c>
      <c r="B163" s="77">
        <v>2026</v>
      </c>
      <c r="C163" s="78">
        <v>46054</v>
      </c>
      <c r="D163" s="90" t="s">
        <v>417</v>
      </c>
      <c r="E163" s="79" t="s">
        <v>403</v>
      </c>
      <c r="F163" s="79" t="s">
        <v>377</v>
      </c>
      <c r="G163" s="90" t="s">
        <v>48</v>
      </c>
      <c r="H163" s="80" t="s">
        <v>33</v>
      </c>
      <c r="I163" s="81">
        <v>38924</v>
      </c>
      <c r="J163" s="81">
        <f t="shared" si="2"/>
        <v>648.73333333333335</v>
      </c>
      <c r="K163" s="80">
        <v>2724.68</v>
      </c>
      <c r="L163" s="80">
        <v>0</v>
      </c>
      <c r="M163" s="80">
        <v>0</v>
      </c>
      <c r="N163" s="80">
        <v>648.73</v>
      </c>
      <c r="O163" s="80">
        <v>2075.9499999999998</v>
      </c>
      <c r="P163" s="82">
        <f>BD_LUCRO[[#This Row],[Lucro Líq.]]/BD_LUCRO[[#This Row],[Sacas/Ton]]</f>
        <v>3.2000051382180654</v>
      </c>
    </row>
    <row r="164" spans="1:16" x14ac:dyDescent="0.25">
      <c r="A164" s="97" t="s">
        <v>216</v>
      </c>
      <c r="B164" s="77">
        <v>2026</v>
      </c>
      <c r="C164" s="78">
        <v>46054</v>
      </c>
      <c r="D164" s="90" t="s">
        <v>418</v>
      </c>
      <c r="E164" s="79" t="s">
        <v>419</v>
      </c>
      <c r="F164" s="79" t="s">
        <v>377</v>
      </c>
      <c r="G164" s="90" t="s">
        <v>48</v>
      </c>
      <c r="H164" s="80" t="s">
        <v>33</v>
      </c>
      <c r="I164" s="81">
        <v>60000</v>
      </c>
      <c r="J164" s="81">
        <f t="shared" si="2"/>
        <v>1000</v>
      </c>
      <c r="K164" s="80">
        <v>6700</v>
      </c>
      <c r="L164" s="80">
        <v>0</v>
      </c>
      <c r="M164" s="80">
        <v>0</v>
      </c>
      <c r="N164" s="80">
        <v>2000</v>
      </c>
      <c r="O164" s="80">
        <v>4700</v>
      </c>
      <c r="P164" s="82">
        <f>BD_LUCRO[[#This Row],[Lucro Líq.]]/BD_LUCRO[[#This Row],[Sacas/Ton]]</f>
        <v>4.7</v>
      </c>
    </row>
    <row r="165" spans="1:16" x14ac:dyDescent="0.25">
      <c r="A165" s="97" t="s">
        <v>216</v>
      </c>
      <c r="B165" s="77">
        <v>2026</v>
      </c>
      <c r="C165" s="78">
        <v>46054</v>
      </c>
      <c r="D165" s="90" t="s">
        <v>420</v>
      </c>
      <c r="E165" s="79" t="s">
        <v>405</v>
      </c>
      <c r="F165" s="79" t="s">
        <v>382</v>
      </c>
      <c r="G165" s="90" t="s">
        <v>49</v>
      </c>
      <c r="H165" s="80" t="s">
        <v>33</v>
      </c>
      <c r="I165" s="81">
        <v>69083</v>
      </c>
      <c r="J165" s="81">
        <f t="shared" si="2"/>
        <v>1151.3833333333334</v>
      </c>
      <c r="K165" s="80">
        <v>4605.53</v>
      </c>
      <c r="L165" s="80">
        <v>0</v>
      </c>
      <c r="M165" s="80">
        <v>0</v>
      </c>
      <c r="N165" s="80">
        <v>1151.3800000000001</v>
      </c>
      <c r="O165" s="80">
        <v>3454.15</v>
      </c>
      <c r="P165" s="82">
        <f>BD_LUCRO[[#This Row],[Lucro Líq.]]/BD_LUCRO[[#This Row],[Sacas/Ton]]</f>
        <v>3</v>
      </c>
    </row>
    <row r="166" spans="1:16" x14ac:dyDescent="0.25">
      <c r="A166" s="97" t="s">
        <v>216</v>
      </c>
      <c r="B166" s="77">
        <v>2026</v>
      </c>
      <c r="C166" s="78">
        <v>46054</v>
      </c>
      <c r="D166" s="90" t="s">
        <v>420</v>
      </c>
      <c r="E166" s="79" t="s">
        <v>421</v>
      </c>
      <c r="F166" s="79" t="s">
        <v>382</v>
      </c>
      <c r="G166" s="90" t="s">
        <v>49</v>
      </c>
      <c r="H166" s="80" t="s">
        <v>33</v>
      </c>
      <c r="I166" s="81">
        <v>75850</v>
      </c>
      <c r="J166" s="81">
        <f t="shared" si="2"/>
        <v>1264.1666666666667</v>
      </c>
      <c r="K166" s="80">
        <v>5056.67</v>
      </c>
      <c r="L166" s="80">
        <v>0</v>
      </c>
      <c r="M166" s="80">
        <v>0</v>
      </c>
      <c r="N166" s="80">
        <v>2781.17</v>
      </c>
      <c r="O166" s="80">
        <v>2275.5</v>
      </c>
      <c r="P166" s="82">
        <f>BD_LUCRO[[#This Row],[Lucro Líq.]]/BD_LUCRO[[#This Row],[Sacas/Ton]]</f>
        <v>1.7999999999999998</v>
      </c>
    </row>
    <row r="167" spans="1:16" x14ac:dyDescent="0.25">
      <c r="A167" s="97" t="s">
        <v>216</v>
      </c>
      <c r="B167" s="77">
        <v>2026</v>
      </c>
      <c r="C167" s="78">
        <v>46054</v>
      </c>
      <c r="D167" s="90" t="s">
        <v>420</v>
      </c>
      <c r="E167" s="79" t="s">
        <v>406</v>
      </c>
      <c r="F167" s="79" t="s">
        <v>388</v>
      </c>
      <c r="G167" s="90" t="s">
        <v>49</v>
      </c>
      <c r="H167" s="80" t="s">
        <v>33</v>
      </c>
      <c r="I167" s="81">
        <v>708</v>
      </c>
      <c r="J167" s="81">
        <f t="shared" si="2"/>
        <v>11.8</v>
      </c>
      <c r="K167" s="80">
        <v>67.260000000000005</v>
      </c>
      <c r="L167" s="80">
        <v>0</v>
      </c>
      <c r="M167" s="80">
        <v>0</v>
      </c>
      <c r="N167" s="80">
        <v>14.16</v>
      </c>
      <c r="O167" s="80">
        <v>53.1</v>
      </c>
      <c r="P167" s="82">
        <f>BD_LUCRO[[#This Row],[Lucro Líq.]]/BD_LUCRO[[#This Row],[Sacas/Ton]]</f>
        <v>4.5</v>
      </c>
    </row>
    <row r="168" spans="1:16" x14ac:dyDescent="0.25">
      <c r="A168" s="97" t="s">
        <v>216</v>
      </c>
      <c r="B168" s="77">
        <v>2026</v>
      </c>
      <c r="C168" s="78">
        <v>46054</v>
      </c>
      <c r="D168" s="90" t="s">
        <v>420</v>
      </c>
      <c r="E168" s="79" t="s">
        <v>422</v>
      </c>
      <c r="F168" s="79" t="s">
        <v>388</v>
      </c>
      <c r="G168" s="90" t="s">
        <v>49</v>
      </c>
      <c r="H168" s="80" t="s">
        <v>33</v>
      </c>
      <c r="I168" s="81">
        <v>214359</v>
      </c>
      <c r="J168" s="81">
        <f t="shared" si="2"/>
        <v>3572.65</v>
      </c>
      <c r="K168" s="80">
        <v>20364.11</v>
      </c>
      <c r="L168" s="80">
        <v>0</v>
      </c>
      <c r="M168" s="80">
        <v>0</v>
      </c>
      <c r="N168" s="80">
        <v>5358.98</v>
      </c>
      <c r="O168" s="80">
        <v>15005.13</v>
      </c>
      <c r="P168" s="82">
        <f>BD_LUCRO[[#This Row],[Lucro Líq.]]/BD_LUCRO[[#This Row],[Sacas/Ton]]</f>
        <v>4.1999999999999993</v>
      </c>
    </row>
    <row r="169" spans="1:16" x14ac:dyDescent="0.25">
      <c r="A169" s="97" t="s">
        <v>216</v>
      </c>
      <c r="B169" s="77">
        <v>2026</v>
      </c>
      <c r="C169" s="78">
        <v>46054</v>
      </c>
      <c r="D169" s="90" t="s">
        <v>423</v>
      </c>
      <c r="E169" s="79" t="s">
        <v>419</v>
      </c>
      <c r="F169" s="79" t="s">
        <v>377</v>
      </c>
      <c r="G169" s="90" t="s">
        <v>48</v>
      </c>
      <c r="H169" s="80" t="s">
        <v>33</v>
      </c>
      <c r="I169" s="81">
        <v>8081</v>
      </c>
      <c r="J169" s="81">
        <f t="shared" si="2"/>
        <v>134.68333333333334</v>
      </c>
      <c r="K169" s="80">
        <v>633.01</v>
      </c>
      <c r="L169" s="80">
        <v>0</v>
      </c>
      <c r="M169" s="80">
        <v>0</v>
      </c>
      <c r="N169" s="80">
        <v>269.37</v>
      </c>
      <c r="O169" s="80">
        <v>363.65</v>
      </c>
      <c r="P169" s="82">
        <f>BD_LUCRO[[#This Row],[Lucro Líq.]]/BD_LUCRO[[#This Row],[Sacas/Ton]]</f>
        <v>2.7000371241183019</v>
      </c>
    </row>
    <row r="170" spans="1:16" x14ac:dyDescent="0.25">
      <c r="A170" s="97" t="s">
        <v>216</v>
      </c>
      <c r="B170" s="77">
        <v>2026</v>
      </c>
      <c r="C170" s="78">
        <v>46054</v>
      </c>
      <c r="D170" s="90" t="s">
        <v>424</v>
      </c>
      <c r="E170" s="79" t="s">
        <v>421</v>
      </c>
      <c r="F170" s="79" t="s">
        <v>382</v>
      </c>
      <c r="G170" s="90" t="s">
        <v>49</v>
      </c>
      <c r="H170" s="80" t="s">
        <v>33</v>
      </c>
      <c r="I170" s="81">
        <v>120000</v>
      </c>
      <c r="J170" s="81">
        <f t="shared" si="2"/>
        <v>2000</v>
      </c>
      <c r="K170" s="80">
        <v>7000</v>
      </c>
      <c r="L170" s="80">
        <v>0</v>
      </c>
      <c r="M170" s="80">
        <v>0</v>
      </c>
      <c r="N170" s="80">
        <v>4400</v>
      </c>
      <c r="O170" s="80">
        <v>2600</v>
      </c>
      <c r="P170" s="82">
        <f>BD_LUCRO[[#This Row],[Lucro Líq.]]/BD_LUCRO[[#This Row],[Sacas/Ton]]</f>
        <v>1.3</v>
      </c>
    </row>
    <row r="171" spans="1:16" x14ac:dyDescent="0.25">
      <c r="A171" s="97" t="s">
        <v>216</v>
      </c>
      <c r="B171" s="77">
        <v>2026</v>
      </c>
      <c r="C171" s="78">
        <v>46054</v>
      </c>
      <c r="D171" s="90" t="s">
        <v>425</v>
      </c>
      <c r="E171" s="79" t="s">
        <v>405</v>
      </c>
      <c r="F171" s="79" t="s">
        <v>382</v>
      </c>
      <c r="G171" s="90" t="s">
        <v>49</v>
      </c>
      <c r="H171" s="80" t="s">
        <v>33</v>
      </c>
      <c r="I171" s="81">
        <v>3534</v>
      </c>
      <c r="J171" s="81">
        <f t="shared" si="2"/>
        <v>58.9</v>
      </c>
      <c r="K171" s="80">
        <v>176.7</v>
      </c>
      <c r="L171" s="80">
        <v>0</v>
      </c>
      <c r="M171" s="80">
        <v>0</v>
      </c>
      <c r="N171" s="80">
        <v>58.9</v>
      </c>
      <c r="O171" s="80">
        <v>117.8</v>
      </c>
      <c r="P171" s="82">
        <f>BD_LUCRO[[#This Row],[Lucro Líq.]]/BD_LUCRO[[#This Row],[Sacas/Ton]]</f>
        <v>2</v>
      </c>
    </row>
    <row r="172" spans="1:16" x14ac:dyDescent="0.25">
      <c r="A172" s="97" t="s">
        <v>216</v>
      </c>
      <c r="B172" s="77">
        <v>2026</v>
      </c>
      <c r="C172" s="78">
        <v>46054</v>
      </c>
      <c r="D172" s="90" t="s">
        <v>425</v>
      </c>
      <c r="E172" s="79" t="s">
        <v>421</v>
      </c>
      <c r="F172" s="79" t="s">
        <v>382</v>
      </c>
      <c r="G172" s="90" t="s">
        <v>49</v>
      </c>
      <c r="H172" s="80" t="s">
        <v>33</v>
      </c>
      <c r="I172" s="81">
        <v>147147</v>
      </c>
      <c r="J172" s="81">
        <f t="shared" si="2"/>
        <v>2452.4499999999998</v>
      </c>
      <c r="K172" s="80">
        <v>7357.35</v>
      </c>
      <c r="L172" s="80">
        <v>0</v>
      </c>
      <c r="M172" s="80">
        <v>0</v>
      </c>
      <c r="N172" s="80">
        <v>5395.39</v>
      </c>
      <c r="O172" s="80">
        <v>1961.96</v>
      </c>
      <c r="P172" s="82">
        <f>BD_LUCRO[[#This Row],[Lucro Líq.]]/BD_LUCRO[[#This Row],[Sacas/Ton]]</f>
        <v>0.8</v>
      </c>
    </row>
    <row r="173" spans="1:16" x14ac:dyDescent="0.25">
      <c r="A173" s="97" t="s">
        <v>216</v>
      </c>
      <c r="B173" s="77">
        <v>2026</v>
      </c>
      <c r="C173" s="78">
        <v>46054</v>
      </c>
      <c r="D173" s="90" t="s">
        <v>425</v>
      </c>
      <c r="E173" s="79" t="s">
        <v>406</v>
      </c>
      <c r="F173" s="79" t="s">
        <v>388</v>
      </c>
      <c r="G173" s="90" t="s">
        <v>49</v>
      </c>
      <c r="H173" s="80" t="s">
        <v>33</v>
      </c>
      <c r="I173" s="81">
        <v>15611</v>
      </c>
      <c r="J173" s="81">
        <f t="shared" si="2"/>
        <v>260.18333333333334</v>
      </c>
      <c r="K173" s="80">
        <v>1222.8599999999999</v>
      </c>
      <c r="L173" s="80">
        <v>0</v>
      </c>
      <c r="M173" s="80">
        <v>0</v>
      </c>
      <c r="N173" s="80">
        <v>312.22000000000003</v>
      </c>
      <c r="O173" s="80">
        <v>910.64</v>
      </c>
      <c r="P173" s="82">
        <f>BD_LUCRO[[#This Row],[Lucro Líq.]]/BD_LUCRO[[#This Row],[Sacas/Ton]]</f>
        <v>3.4999935942604572</v>
      </c>
    </row>
    <row r="174" spans="1:16" x14ac:dyDescent="0.25">
      <c r="A174" s="97" t="s">
        <v>216</v>
      </c>
      <c r="B174" s="77">
        <v>2026</v>
      </c>
      <c r="C174" s="78">
        <v>46054</v>
      </c>
      <c r="D174" s="90" t="s">
        <v>425</v>
      </c>
      <c r="E174" s="79" t="s">
        <v>422</v>
      </c>
      <c r="F174" s="79" t="s">
        <v>388</v>
      </c>
      <c r="G174" s="90" t="s">
        <v>49</v>
      </c>
      <c r="H174" s="80" t="s">
        <v>33</v>
      </c>
      <c r="I174" s="81">
        <v>43069</v>
      </c>
      <c r="J174" s="81">
        <f t="shared" si="2"/>
        <v>717.81666666666672</v>
      </c>
      <c r="K174" s="80">
        <v>3373.74</v>
      </c>
      <c r="L174" s="80">
        <v>0</v>
      </c>
      <c r="M174" s="80">
        <v>0</v>
      </c>
      <c r="N174" s="80">
        <v>1076.73</v>
      </c>
      <c r="O174" s="80">
        <v>2297.0100000000002</v>
      </c>
      <c r="P174" s="82">
        <f>BD_LUCRO[[#This Row],[Lucro Líq.]]/BD_LUCRO[[#This Row],[Sacas/Ton]]</f>
        <v>3.199995356288746</v>
      </c>
    </row>
    <row r="175" spans="1:16" x14ac:dyDescent="0.25">
      <c r="A175" s="97" t="s">
        <v>216</v>
      </c>
      <c r="B175" s="77">
        <v>2026</v>
      </c>
      <c r="C175" s="78">
        <v>46054</v>
      </c>
      <c r="D175" s="90" t="s">
        <v>426</v>
      </c>
      <c r="E175" s="79" t="s">
        <v>427</v>
      </c>
      <c r="F175" s="79" t="s">
        <v>242</v>
      </c>
      <c r="G175" s="90" t="s">
        <v>243</v>
      </c>
      <c r="H175" s="80" t="s">
        <v>33</v>
      </c>
      <c r="I175" s="81">
        <v>141140</v>
      </c>
      <c r="J175" s="81">
        <f t="shared" si="2"/>
        <v>2352.3333333333335</v>
      </c>
      <c r="K175" s="80">
        <v>16936.8</v>
      </c>
      <c r="L175" s="80">
        <v>0</v>
      </c>
      <c r="M175" s="80">
        <v>0</v>
      </c>
      <c r="N175" s="80">
        <v>5880.83</v>
      </c>
      <c r="O175" s="80">
        <v>11055.97</v>
      </c>
      <c r="P175" s="82">
        <f>BD_LUCRO[[#This Row],[Lucro Líq.]]/BD_LUCRO[[#This Row],[Sacas/Ton]]</f>
        <v>4.7000014170327331</v>
      </c>
    </row>
    <row r="176" spans="1:16" x14ac:dyDescent="0.25">
      <c r="A176" s="97" t="s">
        <v>216</v>
      </c>
      <c r="B176" s="77">
        <v>2026</v>
      </c>
      <c r="C176" s="78">
        <v>46054</v>
      </c>
      <c r="D176" s="90" t="s">
        <v>426</v>
      </c>
      <c r="E176" s="79" t="s">
        <v>428</v>
      </c>
      <c r="F176" s="79" t="s">
        <v>242</v>
      </c>
      <c r="G176" s="90" t="s">
        <v>243</v>
      </c>
      <c r="H176" s="80" t="s">
        <v>33</v>
      </c>
      <c r="I176" s="81">
        <v>38860</v>
      </c>
      <c r="J176" s="81">
        <f t="shared" si="2"/>
        <v>647.66666666666663</v>
      </c>
      <c r="K176" s="80">
        <v>4663.2</v>
      </c>
      <c r="L176" s="80">
        <v>0</v>
      </c>
      <c r="M176" s="80">
        <v>0</v>
      </c>
      <c r="N176" s="80">
        <v>1619.17</v>
      </c>
      <c r="O176" s="80">
        <v>3044.03</v>
      </c>
      <c r="P176" s="82">
        <f>BD_LUCRO[[#This Row],[Lucro Líq.]]/BD_LUCRO[[#This Row],[Sacas/Ton]]</f>
        <v>4.6999948533196099</v>
      </c>
    </row>
    <row r="177" spans="1:16" x14ac:dyDescent="0.25">
      <c r="A177" s="97" t="s">
        <v>216</v>
      </c>
      <c r="B177" s="77">
        <v>2026</v>
      </c>
      <c r="C177" s="78">
        <v>46054</v>
      </c>
      <c r="D177" s="90" t="s">
        <v>429</v>
      </c>
      <c r="E177" s="79" t="s">
        <v>427</v>
      </c>
      <c r="F177" s="79" t="s">
        <v>242</v>
      </c>
      <c r="G177" s="90" t="s">
        <v>243</v>
      </c>
      <c r="H177" s="80" t="s">
        <v>33</v>
      </c>
      <c r="I177" s="81">
        <v>38860</v>
      </c>
      <c r="J177" s="81">
        <f t="shared" si="2"/>
        <v>647.66666666666663</v>
      </c>
      <c r="K177" s="80">
        <v>4663.2</v>
      </c>
      <c r="L177" s="80">
        <v>0</v>
      </c>
      <c r="M177" s="80">
        <v>0</v>
      </c>
      <c r="N177" s="80">
        <v>1619.17</v>
      </c>
      <c r="O177" s="80">
        <v>3044.03</v>
      </c>
      <c r="P177" s="82">
        <f>BD_LUCRO[[#This Row],[Lucro Líq.]]/BD_LUCRO[[#This Row],[Sacas/Ton]]</f>
        <v>4.6999948533196099</v>
      </c>
    </row>
    <row r="178" spans="1:16" x14ac:dyDescent="0.25">
      <c r="A178" s="97" t="s">
        <v>216</v>
      </c>
      <c r="B178" s="77">
        <v>2026</v>
      </c>
      <c r="C178" s="78">
        <v>46054</v>
      </c>
      <c r="D178" s="90" t="s">
        <v>429</v>
      </c>
      <c r="E178" s="79" t="s">
        <v>428</v>
      </c>
      <c r="F178" s="79" t="s">
        <v>242</v>
      </c>
      <c r="G178" s="90" t="s">
        <v>243</v>
      </c>
      <c r="H178" s="80" t="s">
        <v>33</v>
      </c>
      <c r="I178" s="81">
        <v>15560</v>
      </c>
      <c r="J178" s="81">
        <f t="shared" si="2"/>
        <v>259.33333333333331</v>
      </c>
      <c r="K178" s="80">
        <v>1867.2</v>
      </c>
      <c r="L178" s="80">
        <v>0</v>
      </c>
      <c r="M178" s="80">
        <v>0</v>
      </c>
      <c r="N178" s="80">
        <v>648.33000000000004</v>
      </c>
      <c r="O178" s="80">
        <v>1218.8699999999999</v>
      </c>
      <c r="P178" s="82">
        <f>BD_LUCRO[[#This Row],[Lucro Líq.]]/BD_LUCRO[[#This Row],[Sacas/Ton]]</f>
        <v>4.7000128534704366</v>
      </c>
    </row>
    <row r="179" spans="1:16" x14ac:dyDescent="0.25">
      <c r="A179" s="97" t="s">
        <v>355</v>
      </c>
      <c r="B179" s="77">
        <v>2026</v>
      </c>
      <c r="C179" s="78">
        <v>46054</v>
      </c>
      <c r="D179" s="90" t="s">
        <v>432</v>
      </c>
      <c r="E179" s="79" t="s">
        <v>92</v>
      </c>
      <c r="F179" s="79" t="s">
        <v>92</v>
      </c>
      <c r="G179" s="90" t="s">
        <v>433</v>
      </c>
      <c r="H179" s="80" t="s">
        <v>179</v>
      </c>
      <c r="I179" s="81">
        <v>30000</v>
      </c>
      <c r="J179" s="81">
        <f t="shared" si="2"/>
        <v>500</v>
      </c>
      <c r="K179" s="80">
        <v>0</v>
      </c>
      <c r="L179" s="80">
        <v>0</v>
      </c>
      <c r="M179" s="80">
        <v>22500</v>
      </c>
      <c r="N179" s="80">
        <v>125</v>
      </c>
      <c r="O179" s="80">
        <v>67543.75</v>
      </c>
      <c r="P179" s="82">
        <f>BD_LUCRO[[#This Row],[Lucro Líq.]]/BD_LUCRO[[#This Row],[Sacas/Ton]]</f>
        <v>135.08750000000001</v>
      </c>
    </row>
    <row r="180" spans="1:16" x14ac:dyDescent="0.25">
      <c r="A180" s="97" t="s">
        <v>355</v>
      </c>
      <c r="B180" s="77">
        <v>2026</v>
      </c>
      <c r="C180" s="78">
        <v>46054</v>
      </c>
      <c r="D180" s="90" t="s">
        <v>434</v>
      </c>
      <c r="E180" s="79" t="s">
        <v>92</v>
      </c>
      <c r="F180" s="79" t="s">
        <v>92</v>
      </c>
      <c r="G180" s="90" t="s">
        <v>433</v>
      </c>
      <c r="H180" s="80" t="s">
        <v>179</v>
      </c>
      <c r="I180" s="81">
        <v>9360</v>
      </c>
      <c r="J180" s="81">
        <f t="shared" si="2"/>
        <v>156</v>
      </c>
      <c r="K180" s="80">
        <v>0</v>
      </c>
      <c r="L180" s="80">
        <v>0</v>
      </c>
      <c r="M180" s="80">
        <v>7020</v>
      </c>
      <c r="N180" s="80">
        <v>39</v>
      </c>
      <c r="O180" s="80">
        <v>25665.119999999999</v>
      </c>
      <c r="P180" s="82">
        <f>BD_LUCRO[[#This Row],[Lucro Líq.]]/BD_LUCRO[[#This Row],[Sacas/Ton]]</f>
        <v>164.51999999999998</v>
      </c>
    </row>
    <row r="181" spans="1:16" x14ac:dyDescent="0.25">
      <c r="A181" s="97" t="s">
        <v>355</v>
      </c>
      <c r="B181" s="77">
        <v>2026</v>
      </c>
      <c r="C181" s="78">
        <v>46054</v>
      </c>
      <c r="D181" s="90" t="s">
        <v>435</v>
      </c>
      <c r="E181" s="79" t="s">
        <v>92</v>
      </c>
      <c r="F181" s="79" t="s">
        <v>92</v>
      </c>
      <c r="G181" s="90" t="s">
        <v>239</v>
      </c>
      <c r="H181" s="80" t="s">
        <v>179</v>
      </c>
      <c r="I181" s="81">
        <v>43100</v>
      </c>
      <c r="J181" s="81">
        <f t="shared" si="2"/>
        <v>718.33333333333337</v>
      </c>
      <c r="K181" s="80">
        <v>0</v>
      </c>
      <c r="L181" s="80">
        <v>9051</v>
      </c>
      <c r="M181" s="80">
        <v>15722.88</v>
      </c>
      <c r="N181" s="80">
        <v>0</v>
      </c>
      <c r="O181" s="80">
        <v>-24931.439999999999</v>
      </c>
      <c r="P181" s="82">
        <f>BD_LUCRO[[#This Row],[Lucro Líq.]]/BD_LUCRO[[#This Row],[Sacas/Ton]]</f>
        <v>-34.707341067285377</v>
      </c>
    </row>
    <row r="182" spans="1:16" x14ac:dyDescent="0.25">
      <c r="A182" s="97" t="s">
        <v>216</v>
      </c>
      <c r="B182" s="77">
        <v>2026</v>
      </c>
      <c r="C182" s="78">
        <v>46082</v>
      </c>
      <c r="D182" s="90" t="s">
        <v>371</v>
      </c>
      <c r="E182" s="79" t="s">
        <v>400</v>
      </c>
      <c r="F182" s="79" t="s">
        <v>206</v>
      </c>
      <c r="G182" s="90" t="s">
        <v>295</v>
      </c>
      <c r="H182" s="80" t="s">
        <v>207</v>
      </c>
      <c r="I182" s="81">
        <v>28820</v>
      </c>
      <c r="J182" s="81">
        <f t="shared" si="2"/>
        <v>480.33333333333331</v>
      </c>
      <c r="K182" s="80">
        <v>11106.8</v>
      </c>
      <c r="L182" s="80">
        <v>8413</v>
      </c>
      <c r="M182" s="80">
        <v>802.35</v>
      </c>
      <c r="N182" s="80">
        <v>576.4</v>
      </c>
      <c r="O182" s="80">
        <v>1000.95</v>
      </c>
      <c r="P182" s="82">
        <f>BD_LUCRO[[#This Row],[Lucro Líq.]]/BD_LUCRO[[#This Row],[Sacas/Ton]]</f>
        <v>2.0838653712699515</v>
      </c>
    </row>
    <row r="183" spans="1:16" x14ac:dyDescent="0.25">
      <c r="A183" s="97" t="s">
        <v>216</v>
      </c>
      <c r="B183" s="77">
        <v>2026</v>
      </c>
      <c r="C183" s="78">
        <v>46082</v>
      </c>
      <c r="D183" s="90" t="s">
        <v>438</v>
      </c>
      <c r="E183" s="79" t="s">
        <v>439</v>
      </c>
      <c r="F183" s="79" t="s">
        <v>440</v>
      </c>
      <c r="G183" s="90" t="s">
        <v>48</v>
      </c>
      <c r="H183" s="80" t="s">
        <v>33</v>
      </c>
      <c r="I183" s="81">
        <v>330000</v>
      </c>
      <c r="J183" s="81">
        <f t="shared" si="2"/>
        <v>5500</v>
      </c>
      <c r="K183" s="80">
        <v>116840.9</v>
      </c>
      <c r="L183" s="80">
        <v>0</v>
      </c>
      <c r="M183" s="80">
        <v>0</v>
      </c>
      <c r="N183" s="80">
        <v>20329.5</v>
      </c>
      <c r="O183" s="80">
        <v>95871.4</v>
      </c>
      <c r="P183" s="82">
        <f>BD_LUCRO[[#This Row],[Lucro Líq.]]/BD_LUCRO[[#This Row],[Sacas/Ton]]</f>
        <v>17.431163636363635</v>
      </c>
    </row>
    <row r="184" spans="1:16" x14ac:dyDescent="0.25">
      <c r="A184" s="97" t="s">
        <v>216</v>
      </c>
      <c r="B184" s="77">
        <v>2026</v>
      </c>
      <c r="C184" s="78">
        <v>46082</v>
      </c>
      <c r="D184" s="90" t="s">
        <v>425</v>
      </c>
      <c r="E184" s="79" t="s">
        <v>421</v>
      </c>
      <c r="F184" s="79" t="s">
        <v>382</v>
      </c>
      <c r="G184" s="90" t="s">
        <v>49</v>
      </c>
      <c r="H184" s="80" t="s">
        <v>33</v>
      </c>
      <c r="I184" s="81">
        <v>40597</v>
      </c>
      <c r="J184" s="81">
        <f t="shared" si="2"/>
        <v>676.61666666666667</v>
      </c>
      <c r="K184" s="80">
        <v>2029.85</v>
      </c>
      <c r="L184" s="80">
        <v>0</v>
      </c>
      <c r="M184" s="80">
        <v>0</v>
      </c>
      <c r="N184" s="80">
        <v>1488.56</v>
      </c>
      <c r="O184" s="80">
        <v>541.29</v>
      </c>
      <c r="P184" s="82">
        <f>BD_LUCRO[[#This Row],[Lucro Líq.]]/BD_LUCRO[[#This Row],[Sacas/Ton]]</f>
        <v>0.79999507352760046</v>
      </c>
    </row>
    <row r="185" spans="1:16" x14ac:dyDescent="0.25">
      <c r="A185" s="97" t="s">
        <v>216</v>
      </c>
      <c r="B185" s="77">
        <v>2026</v>
      </c>
      <c r="C185" s="78">
        <v>46082</v>
      </c>
      <c r="D185" s="90" t="s">
        <v>425</v>
      </c>
      <c r="E185" s="79" t="s">
        <v>441</v>
      </c>
      <c r="F185" s="79" t="s">
        <v>50</v>
      </c>
      <c r="G185" s="90" t="s">
        <v>49</v>
      </c>
      <c r="H185" s="80" t="s">
        <v>33</v>
      </c>
      <c r="I185" s="81">
        <v>7472</v>
      </c>
      <c r="J185" s="81">
        <f t="shared" si="2"/>
        <v>124.53333333333333</v>
      </c>
      <c r="K185" s="80">
        <v>1618.93</v>
      </c>
      <c r="L185" s="80">
        <v>0</v>
      </c>
      <c r="M185" s="80">
        <v>0</v>
      </c>
      <c r="N185" s="80">
        <v>186.8</v>
      </c>
      <c r="O185" s="80">
        <v>1432.13</v>
      </c>
      <c r="P185" s="82">
        <f>BD_LUCRO[[#This Row],[Lucro Líq.]]/BD_LUCRO[[#This Row],[Sacas/Ton]]</f>
        <v>11.499973233404711</v>
      </c>
    </row>
    <row r="186" spans="1:16" x14ac:dyDescent="0.25">
      <c r="A186" s="97" t="s">
        <v>216</v>
      </c>
      <c r="B186" s="77">
        <v>2026</v>
      </c>
      <c r="C186" s="78">
        <v>46082</v>
      </c>
      <c r="D186" s="90" t="s">
        <v>442</v>
      </c>
      <c r="E186" s="79" t="s">
        <v>441</v>
      </c>
      <c r="F186" s="79" t="s">
        <v>50</v>
      </c>
      <c r="G186" s="90" t="s">
        <v>49</v>
      </c>
      <c r="H186" s="80" t="s">
        <v>33</v>
      </c>
      <c r="I186" s="81">
        <v>23288</v>
      </c>
      <c r="J186" s="81">
        <f t="shared" si="2"/>
        <v>388.13333333333333</v>
      </c>
      <c r="K186" s="80">
        <v>4851.67</v>
      </c>
      <c r="L186" s="80">
        <v>0</v>
      </c>
      <c r="M186" s="80">
        <v>0</v>
      </c>
      <c r="N186" s="80">
        <v>582.20000000000005</v>
      </c>
      <c r="O186" s="80">
        <v>4269.47</v>
      </c>
      <c r="P186" s="82">
        <f>BD_LUCRO[[#This Row],[Lucro Líq.]]/BD_LUCRO[[#This Row],[Sacas/Ton]]</f>
        <v>11.000008588114051</v>
      </c>
    </row>
    <row r="187" spans="1:16" x14ac:dyDescent="0.25">
      <c r="A187" s="97" t="s">
        <v>216</v>
      </c>
      <c r="B187" s="77">
        <v>2026</v>
      </c>
      <c r="C187" s="78">
        <v>46082</v>
      </c>
      <c r="D187" s="90" t="s">
        <v>442</v>
      </c>
      <c r="E187" s="79" t="s">
        <v>443</v>
      </c>
      <c r="F187" s="79" t="s">
        <v>444</v>
      </c>
      <c r="G187" s="90" t="s">
        <v>49</v>
      </c>
      <c r="H187" s="80" t="s">
        <v>33</v>
      </c>
      <c r="I187" s="81">
        <v>60000</v>
      </c>
      <c r="J187" s="81">
        <f t="shared" si="2"/>
        <v>1000</v>
      </c>
      <c r="K187" s="80">
        <v>19243.8</v>
      </c>
      <c r="L187" s="80">
        <v>0</v>
      </c>
      <c r="M187" s="80">
        <v>0</v>
      </c>
      <c r="N187" s="80">
        <v>4000</v>
      </c>
      <c r="O187" s="80">
        <v>15243.8</v>
      </c>
      <c r="P187" s="82">
        <f>BD_LUCRO[[#This Row],[Lucro Líq.]]/BD_LUCRO[[#This Row],[Sacas/Ton]]</f>
        <v>15.243799999999998</v>
      </c>
    </row>
    <row r="188" spans="1:16" x14ac:dyDescent="0.25">
      <c r="A188" s="97" t="s">
        <v>216</v>
      </c>
      <c r="B188" s="77">
        <v>2026</v>
      </c>
      <c r="C188" s="78">
        <v>46082</v>
      </c>
      <c r="D188" s="90" t="s">
        <v>442</v>
      </c>
      <c r="E188" s="79" t="s">
        <v>445</v>
      </c>
      <c r="F188" s="79" t="s">
        <v>444</v>
      </c>
      <c r="G188" s="90" t="s">
        <v>49</v>
      </c>
      <c r="H188" s="80" t="s">
        <v>33</v>
      </c>
      <c r="I188" s="81">
        <v>46510</v>
      </c>
      <c r="J188" s="81">
        <f t="shared" si="2"/>
        <v>775.16666666666663</v>
      </c>
      <c r="K188" s="80">
        <v>3255.7</v>
      </c>
      <c r="L188" s="80">
        <v>0</v>
      </c>
      <c r="M188" s="80">
        <v>0</v>
      </c>
      <c r="N188" s="80">
        <v>232.55</v>
      </c>
      <c r="O188" s="80">
        <v>3023.15</v>
      </c>
      <c r="P188" s="82">
        <f>BD_LUCRO[[#This Row],[Lucro Líq.]]/BD_LUCRO[[#This Row],[Sacas/Ton]]</f>
        <v>3.9000000000000004</v>
      </c>
    </row>
    <row r="189" spans="1:16" x14ac:dyDescent="0.25">
      <c r="A189" s="97" t="s">
        <v>216</v>
      </c>
      <c r="B189" s="77">
        <v>2026</v>
      </c>
      <c r="C189" s="78">
        <v>46082</v>
      </c>
      <c r="D189" s="90" t="s">
        <v>446</v>
      </c>
      <c r="E189" s="79" t="s">
        <v>447</v>
      </c>
      <c r="F189" s="79" t="s">
        <v>440</v>
      </c>
      <c r="G189" s="90" t="s">
        <v>48</v>
      </c>
      <c r="H189" s="80" t="s">
        <v>33</v>
      </c>
      <c r="I189" s="81">
        <v>45604</v>
      </c>
      <c r="J189" s="81">
        <f t="shared" si="2"/>
        <v>760.06666666666672</v>
      </c>
      <c r="K189" s="80">
        <v>2584.23</v>
      </c>
      <c r="L189" s="80">
        <v>0</v>
      </c>
      <c r="M189" s="80">
        <v>0</v>
      </c>
      <c r="N189" s="80">
        <v>228.02</v>
      </c>
      <c r="O189" s="80">
        <v>2356.21</v>
      </c>
      <c r="P189" s="82">
        <f>BD_LUCRO[[#This Row],[Lucro Líq.]]/BD_LUCRO[[#This Row],[Sacas/Ton]]</f>
        <v>3.100004385580212</v>
      </c>
    </row>
    <row r="190" spans="1:16" x14ac:dyDescent="0.25">
      <c r="A190" s="97" t="s">
        <v>355</v>
      </c>
      <c r="B190" s="77">
        <v>2026</v>
      </c>
      <c r="C190" s="78">
        <v>46082</v>
      </c>
      <c r="D190" s="90" t="s">
        <v>448</v>
      </c>
      <c r="E190" s="79" t="s">
        <v>92</v>
      </c>
      <c r="F190" s="79" t="s">
        <v>92</v>
      </c>
      <c r="G190" s="90" t="s">
        <v>239</v>
      </c>
      <c r="H190" s="80" t="s">
        <v>176</v>
      </c>
      <c r="I190" s="81">
        <v>2492</v>
      </c>
      <c r="J190" s="81">
        <f t="shared" si="2"/>
        <v>41.533333333333331</v>
      </c>
      <c r="K190" s="80">
        <v>0</v>
      </c>
      <c r="L190" s="80">
        <v>912.56</v>
      </c>
      <c r="M190" s="80">
        <v>0</v>
      </c>
      <c r="N190" s="80">
        <v>0</v>
      </c>
      <c r="O190" s="80">
        <v>-912.56</v>
      </c>
      <c r="P190" s="82">
        <f>BD_LUCRO[[#This Row],[Lucro Líq.]]/BD_LUCRO[[#This Row],[Sacas/Ton]]</f>
        <v>-21.971749598715892</v>
      </c>
    </row>
    <row r="191" spans="1:16" x14ac:dyDescent="0.25">
      <c r="A191" s="97" t="s">
        <v>355</v>
      </c>
      <c r="B191" s="77">
        <v>2026</v>
      </c>
      <c r="C191" s="78">
        <v>46082</v>
      </c>
      <c r="D191" s="90" t="s">
        <v>449</v>
      </c>
      <c r="E191" s="79" t="s">
        <v>92</v>
      </c>
      <c r="F191" s="79" t="s">
        <v>92</v>
      </c>
      <c r="G191" s="90" t="s">
        <v>239</v>
      </c>
      <c r="H191" s="80" t="s">
        <v>173</v>
      </c>
      <c r="I191" s="81">
        <v>18808</v>
      </c>
      <c r="J191" s="81">
        <f t="shared" si="2"/>
        <v>313.46666666666664</v>
      </c>
      <c r="K191" s="80">
        <v>0</v>
      </c>
      <c r="L191" s="80">
        <v>6887.44</v>
      </c>
      <c r="M191" s="80">
        <v>0</v>
      </c>
      <c r="N191" s="80">
        <v>0</v>
      </c>
      <c r="O191" s="80">
        <v>-6886.75</v>
      </c>
      <c r="P191" s="82">
        <f>BD_LUCRO[[#This Row],[Lucro Líq.]]/BD_LUCRO[[#This Row],[Sacas/Ton]]</f>
        <v>-21.969640578477247</v>
      </c>
    </row>
    <row r="192" spans="1:16" x14ac:dyDescent="0.25">
      <c r="A192" s="97" t="s">
        <v>355</v>
      </c>
      <c r="B192" s="77">
        <v>2026</v>
      </c>
      <c r="C192" s="78">
        <v>46082</v>
      </c>
      <c r="D192" s="90" t="s">
        <v>450</v>
      </c>
      <c r="E192" s="79" t="s">
        <v>92</v>
      </c>
      <c r="F192" s="79" t="s">
        <v>92</v>
      </c>
      <c r="G192" s="90" t="s">
        <v>398</v>
      </c>
      <c r="H192" s="80" t="s">
        <v>173</v>
      </c>
      <c r="I192" s="81">
        <v>40812</v>
      </c>
      <c r="J192" s="81">
        <f t="shared" si="2"/>
        <v>680.2</v>
      </c>
      <c r="K192" s="80">
        <v>0</v>
      </c>
      <c r="L192" s="80">
        <v>0</v>
      </c>
      <c r="M192" s="80">
        <v>0</v>
      </c>
      <c r="N192" s="80">
        <v>0</v>
      </c>
      <c r="O192" s="80">
        <v>-100140.54</v>
      </c>
      <c r="P192" s="82">
        <f>BD_LUCRO[[#This Row],[Lucro Líq.]]/BD_LUCRO[[#This Row],[Sacas/Ton]]</f>
        <v>-147.2221993531314</v>
      </c>
    </row>
    <row r="193" spans="1:16" x14ac:dyDescent="0.25">
      <c r="A193" s="97" t="s">
        <v>355</v>
      </c>
      <c r="B193" s="77">
        <v>2026</v>
      </c>
      <c r="C193" s="78">
        <v>46082</v>
      </c>
      <c r="D193" s="90" t="s">
        <v>451</v>
      </c>
      <c r="E193" s="79" t="s">
        <v>92</v>
      </c>
      <c r="F193" s="79" t="s">
        <v>92</v>
      </c>
      <c r="G193" s="90" t="s">
        <v>255</v>
      </c>
      <c r="H193" s="80" t="s">
        <v>173</v>
      </c>
      <c r="I193" s="81">
        <v>8560</v>
      </c>
      <c r="J193" s="81">
        <f t="shared" si="2"/>
        <v>142.66666666666666</v>
      </c>
      <c r="K193" s="80">
        <v>0</v>
      </c>
      <c r="L193" s="80">
        <v>0</v>
      </c>
      <c r="M193" s="80">
        <v>0</v>
      </c>
      <c r="N193" s="80">
        <v>0</v>
      </c>
      <c r="O193" s="80">
        <v>-23413.74</v>
      </c>
      <c r="P193" s="82">
        <f>BD_LUCRO[[#This Row],[Lucro Líq.]]/BD_LUCRO[[#This Row],[Sacas/Ton]]</f>
        <v>-164.11500000000001</v>
      </c>
    </row>
    <row r="194" spans="1:16" x14ac:dyDescent="0.25">
      <c r="A194" s="97" t="s">
        <v>355</v>
      </c>
      <c r="B194" s="77">
        <v>2026</v>
      </c>
      <c r="C194" s="78">
        <v>46082</v>
      </c>
      <c r="D194" s="90" t="s">
        <v>452</v>
      </c>
      <c r="E194" s="79" t="s">
        <v>92</v>
      </c>
      <c r="F194" s="79" t="s">
        <v>92</v>
      </c>
      <c r="G194" s="90" t="s">
        <v>398</v>
      </c>
      <c r="H194" s="80" t="s">
        <v>179</v>
      </c>
      <c r="I194" s="81">
        <v>44292</v>
      </c>
      <c r="J194" s="81">
        <f t="shared" ref="J194:J257" si="3">I194/60</f>
        <v>738.2</v>
      </c>
      <c r="K194" s="80">
        <v>0</v>
      </c>
      <c r="L194" s="80">
        <v>0</v>
      </c>
      <c r="M194" s="80">
        <v>0</v>
      </c>
      <c r="N194" s="80">
        <v>0</v>
      </c>
      <c r="O194" s="80">
        <v>-121974.19</v>
      </c>
      <c r="P194" s="82">
        <f>BD_LUCRO[[#This Row],[Lucro Líq.]]/BD_LUCRO[[#This Row],[Sacas/Ton]]</f>
        <v>-165.23190192359795</v>
      </c>
    </row>
    <row r="195" spans="1:16" x14ac:dyDescent="0.25">
      <c r="A195" s="97" t="s">
        <v>51</v>
      </c>
      <c r="B195" s="77">
        <v>2026</v>
      </c>
      <c r="C195" s="78">
        <v>46082</v>
      </c>
      <c r="D195" s="90" t="s">
        <v>399</v>
      </c>
      <c r="E195" s="79" t="s">
        <v>385</v>
      </c>
      <c r="F195" s="79" t="s">
        <v>52</v>
      </c>
      <c r="G195" s="90" t="s">
        <v>53</v>
      </c>
      <c r="H195" s="80" t="s">
        <v>33</v>
      </c>
      <c r="I195" s="81">
        <v>308775</v>
      </c>
      <c r="J195" s="81">
        <f t="shared" si="3"/>
        <v>5146.25</v>
      </c>
      <c r="K195" s="80">
        <v>106259.77</v>
      </c>
      <c r="L195" s="80">
        <v>0</v>
      </c>
      <c r="M195" s="80">
        <v>0</v>
      </c>
      <c r="N195" s="80">
        <v>0</v>
      </c>
      <c r="O195" s="80">
        <v>106259.77</v>
      </c>
      <c r="P195" s="82">
        <f>BD_LUCRO[[#This Row],[Lucro Líq.]]/BD_LUCRO[[#This Row],[Sacas/Ton]]</f>
        <v>20.648</v>
      </c>
    </row>
    <row r="196" spans="1:16" x14ac:dyDescent="0.25">
      <c r="A196" s="97" t="s">
        <v>51</v>
      </c>
      <c r="B196" s="77">
        <v>2026</v>
      </c>
      <c r="C196" s="78">
        <v>46082</v>
      </c>
      <c r="D196" s="90" t="s">
        <v>453</v>
      </c>
      <c r="E196" s="79" t="s">
        <v>92</v>
      </c>
      <c r="F196" s="79" t="s">
        <v>92</v>
      </c>
      <c r="G196" s="90" t="s">
        <v>253</v>
      </c>
      <c r="H196" s="80" t="s">
        <v>176</v>
      </c>
      <c r="I196" s="81">
        <v>10000</v>
      </c>
      <c r="J196" s="81">
        <f t="shared" si="3"/>
        <v>166.66666666666666</v>
      </c>
      <c r="K196" s="80">
        <v>0</v>
      </c>
      <c r="L196" s="80">
        <v>0</v>
      </c>
      <c r="M196" s="80">
        <v>0</v>
      </c>
      <c r="N196" s="80">
        <v>0</v>
      </c>
      <c r="O196" s="80">
        <v>1382.19</v>
      </c>
      <c r="P196" s="82">
        <f>BD_LUCRO[[#This Row],[Lucro Líq.]]/BD_LUCRO[[#This Row],[Sacas/Ton]]</f>
        <v>8.2931400000000011</v>
      </c>
    </row>
    <row r="197" spans="1:16" x14ac:dyDescent="0.25">
      <c r="A197" s="97" t="s">
        <v>51</v>
      </c>
      <c r="B197" s="77">
        <v>2026</v>
      </c>
      <c r="C197" s="78">
        <v>46082</v>
      </c>
      <c r="D197" s="90" t="s">
        <v>454</v>
      </c>
      <c r="E197" s="79" t="s">
        <v>92</v>
      </c>
      <c r="F197" s="79" t="s">
        <v>92</v>
      </c>
      <c r="G197" s="90" t="s">
        <v>242</v>
      </c>
      <c r="H197" s="80" t="s">
        <v>176</v>
      </c>
      <c r="I197" s="81">
        <v>14000</v>
      </c>
      <c r="J197" s="81">
        <f t="shared" si="3"/>
        <v>233.33333333333334</v>
      </c>
      <c r="K197" s="80">
        <v>0</v>
      </c>
      <c r="L197" s="80">
        <v>1664</v>
      </c>
      <c r="M197" s="80">
        <v>0</v>
      </c>
      <c r="N197" s="80">
        <v>0</v>
      </c>
      <c r="O197" s="80">
        <v>-118.21</v>
      </c>
      <c r="P197" s="82">
        <f>BD_LUCRO[[#This Row],[Lucro Líq.]]/BD_LUCRO[[#This Row],[Sacas/Ton]]</f>
        <v>-0.50661428571428568</v>
      </c>
    </row>
    <row r="198" spans="1:16" x14ac:dyDescent="0.25">
      <c r="A198" s="97" t="s">
        <v>51</v>
      </c>
      <c r="B198" s="77">
        <v>2026</v>
      </c>
      <c r="C198" s="78">
        <v>46082</v>
      </c>
      <c r="D198" s="90" t="s">
        <v>455</v>
      </c>
      <c r="E198" s="79" t="s">
        <v>385</v>
      </c>
      <c r="F198" s="79" t="s">
        <v>52</v>
      </c>
      <c r="G198" s="90" t="s">
        <v>53</v>
      </c>
      <c r="H198" s="80" t="s">
        <v>33</v>
      </c>
      <c r="I198" s="81">
        <v>863340</v>
      </c>
      <c r="J198" s="81">
        <f t="shared" si="3"/>
        <v>14389</v>
      </c>
      <c r="K198" s="80">
        <v>313104.64000000001</v>
      </c>
      <c r="L198" s="80">
        <v>0</v>
      </c>
      <c r="M198" s="80">
        <v>0</v>
      </c>
      <c r="N198" s="80">
        <v>0</v>
      </c>
      <c r="O198" s="80">
        <v>313104.64000000001</v>
      </c>
      <c r="P198" s="82">
        <f>BD_LUCRO[[#This Row],[Lucro Líq.]]/BD_LUCRO[[#This Row],[Sacas/Ton]]</f>
        <v>21.76</v>
      </c>
    </row>
    <row r="199" spans="1:16" x14ac:dyDescent="0.25">
      <c r="A199" s="97" t="s">
        <v>51</v>
      </c>
      <c r="B199" s="77">
        <v>2026</v>
      </c>
      <c r="C199" s="78">
        <v>46082</v>
      </c>
      <c r="D199" s="90" t="s">
        <v>456</v>
      </c>
      <c r="E199" s="79" t="s">
        <v>457</v>
      </c>
      <c r="F199" s="79" t="s">
        <v>382</v>
      </c>
      <c r="G199" s="90" t="s">
        <v>458</v>
      </c>
      <c r="H199" s="80" t="s">
        <v>33</v>
      </c>
      <c r="I199" s="81">
        <v>2100000</v>
      </c>
      <c r="J199" s="81">
        <f t="shared" si="3"/>
        <v>35000</v>
      </c>
      <c r="K199" s="80">
        <v>199500</v>
      </c>
      <c r="L199" s="80">
        <v>0</v>
      </c>
      <c r="M199" s="80">
        <v>0</v>
      </c>
      <c r="N199" s="80">
        <v>42000</v>
      </c>
      <c r="O199" s="80">
        <v>157500</v>
      </c>
      <c r="P199" s="82">
        <f>BD_LUCRO[[#This Row],[Lucro Líq.]]/BD_LUCRO[[#This Row],[Sacas/Ton]]</f>
        <v>4.5</v>
      </c>
    </row>
    <row r="200" spans="1:16" x14ac:dyDescent="0.25">
      <c r="A200" s="97" t="s">
        <v>51</v>
      </c>
      <c r="B200" s="77">
        <v>2026</v>
      </c>
      <c r="C200" s="78">
        <v>46082</v>
      </c>
      <c r="D200" s="90" t="s">
        <v>459</v>
      </c>
      <c r="E200" s="79" t="s">
        <v>92</v>
      </c>
      <c r="F200" s="79" t="s">
        <v>92</v>
      </c>
      <c r="G200" s="90" t="s">
        <v>52</v>
      </c>
      <c r="H200" s="80" t="s">
        <v>179</v>
      </c>
      <c r="I200" s="81">
        <v>25420</v>
      </c>
      <c r="J200" s="81">
        <f t="shared" si="3"/>
        <v>423.66666666666669</v>
      </c>
      <c r="K200" s="80">
        <v>0</v>
      </c>
      <c r="L200" s="80">
        <v>0</v>
      </c>
      <c r="M200" s="80">
        <v>0</v>
      </c>
      <c r="N200" s="80">
        <v>0</v>
      </c>
      <c r="O200" s="80">
        <v>0</v>
      </c>
      <c r="P200" s="82">
        <f>BD_LUCRO[[#This Row],[Lucro Líq.]]/BD_LUCRO[[#This Row],[Sacas/Ton]]</f>
        <v>0</v>
      </c>
    </row>
    <row r="201" spans="1:16" x14ac:dyDescent="0.25">
      <c r="A201" s="97" t="s">
        <v>51</v>
      </c>
      <c r="B201" s="77">
        <v>2026</v>
      </c>
      <c r="C201" s="78">
        <v>46082</v>
      </c>
      <c r="D201" s="90" t="s">
        <v>460</v>
      </c>
      <c r="E201" s="79" t="s">
        <v>92</v>
      </c>
      <c r="F201" s="79" t="s">
        <v>92</v>
      </c>
      <c r="G201" s="90" t="s">
        <v>242</v>
      </c>
      <c r="H201" s="80" t="s">
        <v>179</v>
      </c>
      <c r="I201" s="81">
        <v>17800</v>
      </c>
      <c r="J201" s="81">
        <f t="shared" si="3"/>
        <v>296.66666666666669</v>
      </c>
      <c r="K201" s="80">
        <v>0</v>
      </c>
      <c r="L201" s="80">
        <v>0</v>
      </c>
      <c r="M201" s="80">
        <v>0</v>
      </c>
      <c r="N201" s="80">
        <v>0</v>
      </c>
      <c r="O201" s="80">
        <v>0</v>
      </c>
      <c r="P201" s="82">
        <f>BD_LUCRO[[#This Row],[Lucro Líq.]]/BD_LUCRO[[#This Row],[Sacas/Ton]]</f>
        <v>0</v>
      </c>
    </row>
    <row r="202" spans="1:16" x14ac:dyDescent="0.25">
      <c r="A202" s="97" t="s">
        <v>51</v>
      </c>
      <c r="B202" s="77">
        <v>2026</v>
      </c>
      <c r="C202" s="78">
        <v>46082</v>
      </c>
      <c r="D202" s="90" t="s">
        <v>461</v>
      </c>
      <c r="E202" s="79" t="s">
        <v>462</v>
      </c>
      <c r="F202" s="79" t="s">
        <v>398</v>
      </c>
      <c r="G202" s="90" t="s">
        <v>242</v>
      </c>
      <c r="H202" s="80" t="s">
        <v>173</v>
      </c>
      <c r="I202" s="81">
        <v>18808</v>
      </c>
      <c r="J202" s="81">
        <f t="shared" si="3"/>
        <v>313.46666666666664</v>
      </c>
      <c r="K202" s="80">
        <v>0</v>
      </c>
      <c r="L202" s="80">
        <v>0</v>
      </c>
      <c r="M202" s="80">
        <v>0</v>
      </c>
      <c r="N202" s="80">
        <v>0</v>
      </c>
      <c r="O202" s="80">
        <v>0</v>
      </c>
      <c r="P202" s="82">
        <f>BD_LUCRO[[#This Row],[Lucro Líq.]]/BD_LUCRO[[#This Row],[Sacas/Ton]]</f>
        <v>0</v>
      </c>
    </row>
    <row r="203" spans="1:16" x14ac:dyDescent="0.25">
      <c r="A203" s="44" t="s">
        <v>54</v>
      </c>
      <c r="B203" s="45"/>
      <c r="C203" s="46"/>
      <c r="D203" s="45"/>
      <c r="E203" s="45"/>
      <c r="F203" s="45"/>
      <c r="G203" s="45"/>
      <c r="H203" s="45"/>
      <c r="I203" s="47">
        <f>SUBTOTAL(109,BD_LUCRO[Peso Kg])</f>
        <v>34369181</v>
      </c>
      <c r="J203" s="47">
        <f>SUBTOTAL(109,BD_LUCRO[Sacas/Ton])</f>
        <v>572819.68333333347</v>
      </c>
      <c r="K203" s="48">
        <f>SUBTOTAL(109,BD_LUCRO[Lucro Bruto])</f>
        <v>8741030.8999999985</v>
      </c>
      <c r="L203" s="48">
        <f>SUBTOTAL(109,BD_LUCRO[Total Frete])</f>
        <v>3417848.7999999993</v>
      </c>
      <c r="M203" s="48">
        <f>SUBTOTAL(109,BD_LUCRO[Impostos])</f>
        <v>68115.559999999983</v>
      </c>
      <c r="N203" s="48">
        <f>SUBTOTAL(109,BD_LUCRO[Comissão])</f>
        <v>1981067.4799999995</v>
      </c>
      <c r="O203" s="48">
        <f>SUBTOTAL(109,BD_LUCRO[Lucro Líq.])</f>
        <v>5475200.5899999971</v>
      </c>
      <c r="P203" s="49">
        <f>SUBTOTAL(109,BD_LUCRO[Lucro Sc/Tn])</f>
        <v>-91.750029284784347</v>
      </c>
    </row>
  </sheetData>
  <phoneticPr fontId="32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4"/>
  <sheetViews>
    <sheetView showGridLines="0" tabSelected="1" zoomScaleNormal="100" workbookViewId="0">
      <selection activeCell="A2" sqref="A2"/>
    </sheetView>
  </sheetViews>
  <sheetFormatPr defaultColWidth="8.5703125" defaultRowHeight="15" x14ac:dyDescent="0.25"/>
  <cols>
    <col min="1" max="1" width="12.85546875" customWidth="1"/>
    <col min="2" max="2" width="8.7109375" customWidth="1"/>
    <col min="3" max="3" width="10.42578125" bestFit="1" customWidth="1"/>
    <col min="4" max="4" width="50.85546875" customWidth="1"/>
    <col min="5" max="5" width="18" bestFit="1" customWidth="1"/>
  </cols>
  <sheetData>
    <row r="1" spans="1:5" ht="18" customHeight="1" x14ac:dyDescent="0.25">
      <c r="A1" s="50" t="s">
        <v>34</v>
      </c>
      <c r="B1" s="33" t="s">
        <v>35</v>
      </c>
      <c r="C1" s="34" t="s">
        <v>16</v>
      </c>
      <c r="D1" s="35" t="s">
        <v>55</v>
      </c>
      <c r="E1" s="36" t="s">
        <v>56</v>
      </c>
    </row>
    <row r="2" spans="1:5" ht="15" customHeight="1" x14ac:dyDescent="0.25">
      <c r="A2" s="91" t="s">
        <v>51</v>
      </c>
      <c r="B2" s="92">
        <v>2025</v>
      </c>
      <c r="C2" s="93">
        <v>45658</v>
      </c>
      <c r="D2" s="91" t="s">
        <v>59</v>
      </c>
      <c r="E2" s="94">
        <v>26408.69</v>
      </c>
    </row>
    <row r="3" spans="1:5" ht="15" customHeight="1" x14ac:dyDescent="0.25">
      <c r="A3" s="91" t="s">
        <v>51</v>
      </c>
      <c r="B3" s="92">
        <v>2025</v>
      </c>
      <c r="C3" s="93">
        <v>45658</v>
      </c>
      <c r="D3" s="91" t="s">
        <v>76</v>
      </c>
      <c r="E3" s="94">
        <v>118.5</v>
      </c>
    </row>
    <row r="4" spans="1:5" ht="15" customHeight="1" x14ac:dyDescent="0.25">
      <c r="A4" s="91" t="s">
        <v>51</v>
      </c>
      <c r="B4" s="92">
        <v>2025</v>
      </c>
      <c r="C4" s="93">
        <v>45658</v>
      </c>
      <c r="D4" s="91" t="s">
        <v>60</v>
      </c>
      <c r="E4" s="94">
        <v>890.23</v>
      </c>
    </row>
    <row r="5" spans="1:5" ht="15" customHeight="1" x14ac:dyDescent="0.25">
      <c r="A5" s="91" t="s">
        <v>51</v>
      </c>
      <c r="B5" s="92">
        <v>2025</v>
      </c>
      <c r="C5" s="93">
        <v>45658</v>
      </c>
      <c r="D5" s="91" t="s">
        <v>61</v>
      </c>
      <c r="E5" s="94">
        <v>1518</v>
      </c>
    </row>
    <row r="6" spans="1:5" ht="15" customHeight="1" x14ac:dyDescent="0.25">
      <c r="A6" s="91" t="s">
        <v>51</v>
      </c>
      <c r="B6" s="92">
        <v>2025</v>
      </c>
      <c r="C6" s="93">
        <v>45658</v>
      </c>
      <c r="D6" s="91" t="s">
        <v>63</v>
      </c>
      <c r="E6" s="94">
        <v>84</v>
      </c>
    </row>
    <row r="7" spans="1:5" ht="15" customHeight="1" x14ac:dyDescent="0.25">
      <c r="A7" s="91" t="s">
        <v>51</v>
      </c>
      <c r="B7" s="92">
        <v>2025</v>
      </c>
      <c r="C7" s="93">
        <v>45658</v>
      </c>
      <c r="D7" s="91" t="s">
        <v>64</v>
      </c>
      <c r="E7" s="94">
        <v>813.97</v>
      </c>
    </row>
    <row r="8" spans="1:5" ht="15" customHeight="1" x14ac:dyDescent="0.25">
      <c r="A8" s="91" t="s">
        <v>51</v>
      </c>
      <c r="B8" s="92">
        <v>2025</v>
      </c>
      <c r="C8" s="93">
        <v>45658</v>
      </c>
      <c r="D8" s="91" t="s">
        <v>65</v>
      </c>
      <c r="E8" s="94">
        <v>179.9</v>
      </c>
    </row>
    <row r="9" spans="1:5" ht="15" customHeight="1" x14ac:dyDescent="0.25">
      <c r="A9" s="91" t="s">
        <v>51</v>
      </c>
      <c r="B9" s="92">
        <v>2025</v>
      </c>
      <c r="C9" s="93">
        <v>45658</v>
      </c>
      <c r="D9" s="91" t="s">
        <v>66</v>
      </c>
      <c r="E9" s="94">
        <v>191.89</v>
      </c>
    </row>
    <row r="10" spans="1:5" ht="15" customHeight="1" x14ac:dyDescent="0.25">
      <c r="A10" s="91" t="s">
        <v>51</v>
      </c>
      <c r="B10" s="92">
        <v>2025</v>
      </c>
      <c r="C10" s="93">
        <v>45658</v>
      </c>
      <c r="D10" s="91" t="s">
        <v>67</v>
      </c>
      <c r="E10" s="94">
        <v>52501.37</v>
      </c>
    </row>
    <row r="11" spans="1:5" ht="15" customHeight="1" x14ac:dyDescent="0.25">
      <c r="A11" s="91" t="s">
        <v>51</v>
      </c>
      <c r="B11" s="92">
        <v>2025</v>
      </c>
      <c r="C11" s="93">
        <v>45658</v>
      </c>
      <c r="D11" s="91" t="s">
        <v>68</v>
      </c>
      <c r="E11" s="94">
        <v>2887.53</v>
      </c>
    </row>
    <row r="12" spans="1:5" ht="15" customHeight="1" x14ac:dyDescent="0.25">
      <c r="A12" s="91" t="s">
        <v>51</v>
      </c>
      <c r="B12" s="92">
        <v>2025</v>
      </c>
      <c r="C12" s="93">
        <v>45658</v>
      </c>
      <c r="D12" s="91" t="s">
        <v>69</v>
      </c>
      <c r="E12" s="94">
        <v>10422.030000000001</v>
      </c>
    </row>
    <row r="13" spans="1:5" ht="15" customHeight="1" x14ac:dyDescent="0.25">
      <c r="A13" s="91" t="s">
        <v>51</v>
      </c>
      <c r="B13" s="92">
        <v>2025</v>
      </c>
      <c r="C13" s="93">
        <v>45658</v>
      </c>
      <c r="D13" s="91" t="s">
        <v>70</v>
      </c>
      <c r="E13" s="94">
        <v>112</v>
      </c>
    </row>
    <row r="14" spans="1:5" ht="15" customHeight="1" x14ac:dyDescent="0.25">
      <c r="A14" s="91" t="s">
        <v>51</v>
      </c>
      <c r="B14" s="92">
        <v>2025</v>
      </c>
      <c r="C14" s="93">
        <v>45658</v>
      </c>
      <c r="D14" s="91" t="s">
        <v>71</v>
      </c>
      <c r="E14" s="94">
        <v>34166.47</v>
      </c>
    </row>
    <row r="15" spans="1:5" ht="15" customHeight="1" x14ac:dyDescent="0.25">
      <c r="A15" s="91" t="s">
        <v>51</v>
      </c>
      <c r="B15" s="92">
        <v>2025</v>
      </c>
      <c r="C15" s="93">
        <v>45658</v>
      </c>
      <c r="D15" s="91" t="s">
        <v>77</v>
      </c>
      <c r="E15" s="94">
        <v>3375</v>
      </c>
    </row>
    <row r="16" spans="1:5" ht="15" customHeight="1" x14ac:dyDescent="0.25">
      <c r="A16" s="91" t="s">
        <v>51</v>
      </c>
      <c r="B16" s="92">
        <v>2025</v>
      </c>
      <c r="C16" s="93">
        <v>45658</v>
      </c>
      <c r="D16" s="91" t="s">
        <v>73</v>
      </c>
      <c r="E16" s="94">
        <v>588.79999999999995</v>
      </c>
    </row>
    <row r="17" spans="1:5" ht="15" customHeight="1" x14ac:dyDescent="0.25">
      <c r="A17" s="91" t="s">
        <v>51</v>
      </c>
      <c r="B17" s="92">
        <v>2025</v>
      </c>
      <c r="C17" s="93">
        <v>45658</v>
      </c>
      <c r="D17" s="91" t="s">
        <v>74</v>
      </c>
      <c r="E17" s="94">
        <v>171.2</v>
      </c>
    </row>
    <row r="18" spans="1:5" ht="15" customHeight="1" x14ac:dyDescent="0.25">
      <c r="A18" s="91" t="s">
        <v>51</v>
      </c>
      <c r="B18" s="92">
        <v>2025</v>
      </c>
      <c r="C18" s="93">
        <v>45689</v>
      </c>
      <c r="D18" s="91" t="s">
        <v>60</v>
      </c>
      <c r="E18" s="94">
        <v>520.74</v>
      </c>
    </row>
    <row r="19" spans="1:5" ht="15" customHeight="1" x14ac:dyDescent="0.25">
      <c r="A19" s="91" t="s">
        <v>51</v>
      </c>
      <c r="B19" s="92">
        <v>2025</v>
      </c>
      <c r="C19" s="93">
        <v>45689</v>
      </c>
      <c r="D19" s="91" t="s">
        <v>61</v>
      </c>
      <c r="E19" s="94">
        <v>1518</v>
      </c>
    </row>
    <row r="20" spans="1:5" ht="15" customHeight="1" x14ac:dyDescent="0.25">
      <c r="A20" s="91" t="s">
        <v>51</v>
      </c>
      <c r="B20" s="92">
        <v>2025</v>
      </c>
      <c r="C20" s="93">
        <v>45689</v>
      </c>
      <c r="D20" s="91" t="s">
        <v>63</v>
      </c>
      <c r="E20" s="94">
        <v>84</v>
      </c>
    </row>
    <row r="21" spans="1:5" ht="15" customHeight="1" x14ac:dyDescent="0.25">
      <c r="A21" s="91" t="s">
        <v>51</v>
      </c>
      <c r="B21" s="92">
        <v>2025</v>
      </c>
      <c r="C21" s="93">
        <v>45689</v>
      </c>
      <c r="D21" s="91" t="s">
        <v>64</v>
      </c>
      <c r="E21" s="94">
        <v>806</v>
      </c>
    </row>
    <row r="22" spans="1:5" ht="15" customHeight="1" x14ac:dyDescent="0.25">
      <c r="A22" s="91" t="s">
        <v>51</v>
      </c>
      <c r="B22" s="92">
        <v>2025</v>
      </c>
      <c r="C22" s="93">
        <v>45689</v>
      </c>
      <c r="D22" s="91" t="s">
        <v>65</v>
      </c>
      <c r="E22" s="94">
        <v>179.9</v>
      </c>
    </row>
    <row r="23" spans="1:5" ht="15" customHeight="1" x14ac:dyDescent="0.25">
      <c r="A23" s="91" t="s">
        <v>51</v>
      </c>
      <c r="B23" s="92">
        <v>2025</v>
      </c>
      <c r="C23" s="93">
        <v>45689</v>
      </c>
      <c r="D23" s="91" t="s">
        <v>66</v>
      </c>
      <c r="E23" s="94">
        <v>104.04</v>
      </c>
    </row>
    <row r="24" spans="1:5" ht="15" customHeight="1" x14ac:dyDescent="0.25">
      <c r="A24" s="91" t="s">
        <v>51</v>
      </c>
      <c r="B24" s="92">
        <v>2025</v>
      </c>
      <c r="C24" s="93">
        <v>45689</v>
      </c>
      <c r="D24" s="91" t="s">
        <v>68</v>
      </c>
      <c r="E24" s="94">
        <v>9.02</v>
      </c>
    </row>
    <row r="25" spans="1:5" ht="15" customHeight="1" x14ac:dyDescent="0.25">
      <c r="A25" s="91" t="s">
        <v>51</v>
      </c>
      <c r="B25" s="92">
        <v>2025</v>
      </c>
      <c r="C25" s="93">
        <v>45689</v>
      </c>
      <c r="D25" s="91" t="s">
        <v>69</v>
      </c>
      <c r="E25" s="94">
        <v>9677.6</v>
      </c>
    </row>
    <row r="26" spans="1:5" ht="15" customHeight="1" x14ac:dyDescent="0.25">
      <c r="A26" s="91" t="s">
        <v>51</v>
      </c>
      <c r="B26" s="92">
        <v>2025</v>
      </c>
      <c r="C26" s="93">
        <v>45689</v>
      </c>
      <c r="D26" s="91" t="s">
        <v>70</v>
      </c>
      <c r="E26" s="94">
        <v>1968.8</v>
      </c>
    </row>
    <row r="27" spans="1:5" ht="15" customHeight="1" x14ac:dyDescent="0.25">
      <c r="A27" s="91" t="s">
        <v>51</v>
      </c>
      <c r="B27" s="92">
        <v>2025</v>
      </c>
      <c r="C27" s="93">
        <v>45689</v>
      </c>
      <c r="D27" s="91" t="s">
        <v>71</v>
      </c>
      <c r="E27" s="94">
        <v>37440.71</v>
      </c>
    </row>
    <row r="28" spans="1:5" ht="15" customHeight="1" x14ac:dyDescent="0.25">
      <c r="A28" s="91" t="s">
        <v>51</v>
      </c>
      <c r="B28" s="92">
        <v>2025</v>
      </c>
      <c r="C28" s="93">
        <v>45689</v>
      </c>
      <c r="D28" s="91" t="s">
        <v>73</v>
      </c>
      <c r="E28" s="94">
        <v>633.01</v>
      </c>
    </row>
    <row r="29" spans="1:5" ht="15" customHeight="1" x14ac:dyDescent="0.25">
      <c r="A29" s="91" t="s">
        <v>51</v>
      </c>
      <c r="B29" s="92">
        <v>2025</v>
      </c>
      <c r="C29" s="93">
        <v>45689</v>
      </c>
      <c r="D29" s="91" t="s">
        <v>74</v>
      </c>
      <c r="E29" s="94">
        <v>171.2</v>
      </c>
    </row>
    <row r="30" spans="1:5" ht="15" customHeight="1" x14ac:dyDescent="0.25">
      <c r="A30" s="91" t="s">
        <v>51</v>
      </c>
      <c r="B30" s="92">
        <v>2025</v>
      </c>
      <c r="C30" s="93">
        <v>45717</v>
      </c>
      <c r="D30" s="91" t="s">
        <v>75</v>
      </c>
      <c r="E30" s="94">
        <v>360</v>
      </c>
    </row>
    <row r="31" spans="1:5" ht="15" customHeight="1" x14ac:dyDescent="0.25">
      <c r="A31" s="91" t="s">
        <v>51</v>
      </c>
      <c r="B31" s="92">
        <v>2025</v>
      </c>
      <c r="C31" s="93">
        <v>45717</v>
      </c>
      <c r="D31" s="91" t="s">
        <v>58</v>
      </c>
      <c r="E31" s="94">
        <v>3416.71</v>
      </c>
    </row>
    <row r="32" spans="1:5" ht="15" customHeight="1" x14ac:dyDescent="0.25">
      <c r="A32" s="91" t="s">
        <v>51</v>
      </c>
      <c r="B32" s="92">
        <v>2025</v>
      </c>
      <c r="C32" s="93">
        <v>45717</v>
      </c>
      <c r="D32" s="91" t="s">
        <v>57</v>
      </c>
      <c r="E32" s="94">
        <v>5675.5</v>
      </c>
    </row>
    <row r="33" spans="1:5" ht="15" customHeight="1" x14ac:dyDescent="0.25">
      <c r="A33" s="91" t="s">
        <v>51</v>
      </c>
      <c r="B33" s="92">
        <v>2025</v>
      </c>
      <c r="C33" s="93">
        <v>45717</v>
      </c>
      <c r="D33" s="91" t="s">
        <v>60</v>
      </c>
      <c r="E33" s="94">
        <v>447.28</v>
      </c>
    </row>
    <row r="34" spans="1:5" ht="15" customHeight="1" x14ac:dyDescent="0.25">
      <c r="A34" s="91" t="s">
        <v>51</v>
      </c>
      <c r="B34" s="92">
        <v>2025</v>
      </c>
      <c r="C34" s="93">
        <v>45717</v>
      </c>
      <c r="D34" s="91" t="s">
        <v>61</v>
      </c>
      <c r="E34" s="94">
        <v>1518</v>
      </c>
    </row>
    <row r="35" spans="1:5" ht="15" customHeight="1" x14ac:dyDescent="0.25">
      <c r="A35" s="91" t="s">
        <v>51</v>
      </c>
      <c r="B35" s="92">
        <v>2025</v>
      </c>
      <c r="C35" s="93">
        <v>45717</v>
      </c>
      <c r="D35" s="91" t="s">
        <v>63</v>
      </c>
      <c r="E35" s="94">
        <v>84</v>
      </c>
    </row>
    <row r="36" spans="1:5" ht="15" customHeight="1" x14ac:dyDescent="0.25">
      <c r="A36" s="91" t="s">
        <v>51</v>
      </c>
      <c r="B36" s="92">
        <v>2025</v>
      </c>
      <c r="C36" s="93">
        <v>45717</v>
      </c>
      <c r="D36" s="91" t="s">
        <v>65</v>
      </c>
      <c r="E36" s="94">
        <v>179.9</v>
      </c>
    </row>
    <row r="37" spans="1:5" ht="15" customHeight="1" x14ac:dyDescent="0.25">
      <c r="A37" s="91" t="s">
        <v>51</v>
      </c>
      <c r="B37" s="92">
        <v>2025</v>
      </c>
      <c r="C37" s="93">
        <v>45717</v>
      </c>
      <c r="D37" s="91" t="s">
        <v>66</v>
      </c>
      <c r="E37" s="94">
        <v>185.7</v>
      </c>
    </row>
    <row r="38" spans="1:5" ht="15" customHeight="1" x14ac:dyDescent="0.25">
      <c r="A38" s="91" t="s">
        <v>51</v>
      </c>
      <c r="B38" s="92">
        <v>2025</v>
      </c>
      <c r="C38" s="93">
        <v>45717</v>
      </c>
      <c r="D38" s="91" t="s">
        <v>68</v>
      </c>
      <c r="E38" s="94">
        <v>298.81</v>
      </c>
    </row>
    <row r="39" spans="1:5" ht="15" customHeight="1" x14ac:dyDescent="0.25">
      <c r="A39" s="91" t="s">
        <v>51</v>
      </c>
      <c r="B39" s="92">
        <v>2025</v>
      </c>
      <c r="C39" s="93">
        <v>45717</v>
      </c>
      <c r="D39" s="91" t="s">
        <v>69</v>
      </c>
      <c r="E39" s="94">
        <v>8068.67</v>
      </c>
    </row>
    <row r="40" spans="1:5" ht="15" customHeight="1" x14ac:dyDescent="0.25">
      <c r="A40" s="91" t="s">
        <v>51</v>
      </c>
      <c r="B40" s="92">
        <v>2025</v>
      </c>
      <c r="C40" s="93">
        <v>45717</v>
      </c>
      <c r="D40" s="91" t="s">
        <v>70</v>
      </c>
      <c r="E40" s="94">
        <v>753.84</v>
      </c>
    </row>
    <row r="41" spans="1:5" ht="15" customHeight="1" x14ac:dyDescent="0.25">
      <c r="A41" s="91" t="s">
        <v>51</v>
      </c>
      <c r="B41" s="92">
        <v>2025</v>
      </c>
      <c r="C41" s="93">
        <v>45717</v>
      </c>
      <c r="D41" s="91" t="s">
        <v>71</v>
      </c>
      <c r="E41" s="94">
        <v>15264</v>
      </c>
    </row>
    <row r="42" spans="1:5" ht="15" customHeight="1" x14ac:dyDescent="0.25">
      <c r="A42" s="91" t="s">
        <v>51</v>
      </c>
      <c r="B42" s="92">
        <v>2025</v>
      </c>
      <c r="C42" s="93">
        <v>45717</v>
      </c>
      <c r="D42" s="91" t="s">
        <v>72</v>
      </c>
      <c r="E42" s="94">
        <v>209.95</v>
      </c>
    </row>
    <row r="43" spans="1:5" ht="15" customHeight="1" x14ac:dyDescent="0.25">
      <c r="A43" s="91" t="s">
        <v>51</v>
      </c>
      <c r="B43" s="92">
        <v>2025</v>
      </c>
      <c r="C43" s="93">
        <v>45717</v>
      </c>
      <c r="D43" s="91" t="s">
        <v>73</v>
      </c>
      <c r="E43" s="94">
        <v>633.01</v>
      </c>
    </row>
    <row r="44" spans="1:5" ht="15" customHeight="1" x14ac:dyDescent="0.25">
      <c r="A44" s="91" t="s">
        <v>51</v>
      </c>
      <c r="B44" s="92">
        <v>2025</v>
      </c>
      <c r="C44" s="93">
        <v>45717</v>
      </c>
      <c r="D44" s="91" t="s">
        <v>74</v>
      </c>
      <c r="E44" s="94">
        <v>174.9</v>
      </c>
    </row>
    <row r="45" spans="1:5" ht="15" customHeight="1" x14ac:dyDescent="0.25">
      <c r="A45" s="91" t="s">
        <v>51</v>
      </c>
      <c r="B45" s="92">
        <v>2025</v>
      </c>
      <c r="C45" s="93">
        <v>45748</v>
      </c>
      <c r="D45" s="91" t="s">
        <v>59</v>
      </c>
      <c r="E45" s="94">
        <v>48613.88</v>
      </c>
    </row>
    <row r="46" spans="1:5" ht="15" customHeight="1" x14ac:dyDescent="0.25">
      <c r="A46" s="91" t="s">
        <v>51</v>
      </c>
      <c r="B46" s="92">
        <v>2025</v>
      </c>
      <c r="C46" s="93">
        <v>45748</v>
      </c>
      <c r="D46" s="91" t="s">
        <v>76</v>
      </c>
      <c r="E46" s="94">
        <v>891.96</v>
      </c>
    </row>
    <row r="47" spans="1:5" ht="15" customHeight="1" x14ac:dyDescent="0.25">
      <c r="A47" s="91" t="s">
        <v>51</v>
      </c>
      <c r="B47" s="92">
        <v>2025</v>
      </c>
      <c r="C47" s="93">
        <v>45748</v>
      </c>
      <c r="D47" s="91" t="s">
        <v>60</v>
      </c>
      <c r="E47" s="94">
        <v>151.88</v>
      </c>
    </row>
    <row r="48" spans="1:5" ht="15" customHeight="1" x14ac:dyDescent="0.25">
      <c r="A48" s="91" t="s">
        <v>51</v>
      </c>
      <c r="B48" s="92">
        <v>2025</v>
      </c>
      <c r="C48" s="93">
        <v>45748</v>
      </c>
      <c r="D48" s="91" t="s">
        <v>61</v>
      </c>
      <c r="E48" s="94">
        <v>1518</v>
      </c>
    </row>
    <row r="49" spans="1:5" ht="15" customHeight="1" x14ac:dyDescent="0.25">
      <c r="A49" s="91" t="s">
        <v>51</v>
      </c>
      <c r="B49" s="92">
        <v>2025</v>
      </c>
      <c r="C49" s="93">
        <v>45748</v>
      </c>
      <c r="D49" s="91" t="s">
        <v>63</v>
      </c>
      <c r="E49" s="94">
        <v>84</v>
      </c>
    </row>
    <row r="50" spans="1:5" ht="15" customHeight="1" x14ac:dyDescent="0.25">
      <c r="A50" s="91" t="s">
        <v>51</v>
      </c>
      <c r="B50" s="92">
        <v>2025</v>
      </c>
      <c r="C50" s="93">
        <v>45748</v>
      </c>
      <c r="D50" s="91" t="s">
        <v>64</v>
      </c>
      <c r="E50" s="94">
        <v>872.73</v>
      </c>
    </row>
    <row r="51" spans="1:5" ht="15" customHeight="1" x14ac:dyDescent="0.25">
      <c r="A51" s="91" t="s">
        <v>51</v>
      </c>
      <c r="B51" s="92">
        <v>2025</v>
      </c>
      <c r="C51" s="93">
        <v>45748</v>
      </c>
      <c r="D51" s="91" t="s">
        <v>65</v>
      </c>
      <c r="E51" s="94">
        <v>179.9</v>
      </c>
    </row>
    <row r="52" spans="1:5" ht="15" customHeight="1" x14ac:dyDescent="0.25">
      <c r="A52" s="91" t="s">
        <v>51</v>
      </c>
      <c r="B52" s="92">
        <v>2025</v>
      </c>
      <c r="C52" s="93">
        <v>45748</v>
      </c>
      <c r="D52" s="91" t="s">
        <v>66</v>
      </c>
      <c r="E52" s="94">
        <v>587.78</v>
      </c>
    </row>
    <row r="53" spans="1:5" ht="15" customHeight="1" x14ac:dyDescent="0.25">
      <c r="A53" s="91" t="s">
        <v>51</v>
      </c>
      <c r="B53" s="92">
        <v>2025</v>
      </c>
      <c r="C53" s="93">
        <v>45748</v>
      </c>
      <c r="D53" s="91" t="s">
        <v>67</v>
      </c>
      <c r="E53" s="94">
        <v>125584.65</v>
      </c>
    </row>
    <row r="54" spans="1:5" ht="15" customHeight="1" x14ac:dyDescent="0.25">
      <c r="A54" s="91" t="s">
        <v>51</v>
      </c>
      <c r="B54" s="92">
        <v>2025</v>
      </c>
      <c r="C54" s="93">
        <v>45748</v>
      </c>
      <c r="D54" s="91" t="s">
        <v>68</v>
      </c>
      <c r="E54" s="94">
        <v>1802.05</v>
      </c>
    </row>
    <row r="55" spans="1:5" ht="15" customHeight="1" x14ac:dyDescent="0.25">
      <c r="A55" s="91" t="s">
        <v>51</v>
      </c>
      <c r="B55" s="92">
        <v>2025</v>
      </c>
      <c r="C55" s="93">
        <v>45748</v>
      </c>
      <c r="D55" s="91" t="s">
        <v>166</v>
      </c>
      <c r="E55" s="94">
        <v>8599.5</v>
      </c>
    </row>
    <row r="56" spans="1:5" ht="15" customHeight="1" x14ac:dyDescent="0.25">
      <c r="A56" s="91" t="s">
        <v>51</v>
      </c>
      <c r="B56" s="92">
        <v>2025</v>
      </c>
      <c r="C56" s="93">
        <v>45748</v>
      </c>
      <c r="D56" s="91" t="s">
        <v>69</v>
      </c>
      <c r="E56" s="94">
        <v>8188.74</v>
      </c>
    </row>
    <row r="57" spans="1:5" ht="15" customHeight="1" x14ac:dyDescent="0.25">
      <c r="A57" s="91" t="s">
        <v>51</v>
      </c>
      <c r="B57" s="92">
        <v>2025</v>
      </c>
      <c r="C57" s="93">
        <v>45748</v>
      </c>
      <c r="D57" s="91" t="s">
        <v>78</v>
      </c>
      <c r="E57" s="94">
        <v>12.05</v>
      </c>
    </row>
    <row r="58" spans="1:5" ht="15" customHeight="1" x14ac:dyDescent="0.25">
      <c r="A58" s="91" t="s">
        <v>51</v>
      </c>
      <c r="B58" s="92">
        <v>2025</v>
      </c>
      <c r="C58" s="93">
        <v>45748</v>
      </c>
      <c r="D58" s="91" t="s">
        <v>70</v>
      </c>
      <c r="E58" s="94">
        <v>210</v>
      </c>
    </row>
    <row r="59" spans="1:5" ht="15" customHeight="1" x14ac:dyDescent="0.25">
      <c r="A59" s="91" t="s">
        <v>51</v>
      </c>
      <c r="B59" s="92">
        <v>2025</v>
      </c>
      <c r="C59" s="93">
        <v>45748</v>
      </c>
      <c r="D59" s="91" t="s">
        <v>71</v>
      </c>
      <c r="E59" s="94">
        <v>66314</v>
      </c>
    </row>
    <row r="60" spans="1:5" ht="15" customHeight="1" x14ac:dyDescent="0.25">
      <c r="A60" s="91" t="s">
        <v>51</v>
      </c>
      <c r="B60" s="92">
        <v>2025</v>
      </c>
      <c r="C60" s="93">
        <v>45748</v>
      </c>
      <c r="D60" s="91" t="s">
        <v>77</v>
      </c>
      <c r="E60" s="94">
        <v>3375</v>
      </c>
    </row>
    <row r="61" spans="1:5" ht="15" customHeight="1" x14ac:dyDescent="0.25">
      <c r="A61" s="91" t="s">
        <v>51</v>
      </c>
      <c r="B61" s="92">
        <v>2025</v>
      </c>
      <c r="C61" s="93">
        <v>45748</v>
      </c>
      <c r="D61" s="91" t="s">
        <v>73</v>
      </c>
      <c r="E61" s="94">
        <v>633.01</v>
      </c>
    </row>
    <row r="62" spans="1:5" ht="15" customHeight="1" x14ac:dyDescent="0.25">
      <c r="A62" s="91" t="s">
        <v>51</v>
      </c>
      <c r="B62" s="92">
        <v>2025</v>
      </c>
      <c r="C62" s="93">
        <v>45748</v>
      </c>
      <c r="D62" s="91" t="s">
        <v>74</v>
      </c>
      <c r="E62" s="94">
        <v>294.89999999999998</v>
      </c>
    </row>
    <row r="63" spans="1:5" ht="15" customHeight="1" x14ac:dyDescent="0.25">
      <c r="A63" s="91" t="s">
        <v>51</v>
      </c>
      <c r="B63" s="92">
        <v>2025</v>
      </c>
      <c r="C63" s="93">
        <v>45778</v>
      </c>
      <c r="D63" s="91" t="s">
        <v>75</v>
      </c>
      <c r="E63" s="94">
        <v>377</v>
      </c>
    </row>
    <row r="64" spans="1:5" ht="15" customHeight="1" x14ac:dyDescent="0.25">
      <c r="A64" s="91" t="s">
        <v>51</v>
      </c>
      <c r="B64" s="92">
        <v>2025</v>
      </c>
      <c r="C64" s="93">
        <v>45778</v>
      </c>
      <c r="D64" s="91" t="s">
        <v>58</v>
      </c>
      <c r="E64" s="94">
        <v>5156.79</v>
      </c>
    </row>
    <row r="65" spans="1:5" ht="15" customHeight="1" x14ac:dyDescent="0.25">
      <c r="A65" s="91" t="s">
        <v>51</v>
      </c>
      <c r="B65" s="92">
        <v>2025</v>
      </c>
      <c r="C65" s="93">
        <v>45778</v>
      </c>
      <c r="D65" s="91" t="s">
        <v>76</v>
      </c>
      <c r="E65" s="94">
        <v>412.95</v>
      </c>
    </row>
    <row r="66" spans="1:5" ht="15" customHeight="1" x14ac:dyDescent="0.25">
      <c r="A66" s="91" t="s">
        <v>51</v>
      </c>
      <c r="B66" s="92">
        <v>2025</v>
      </c>
      <c r="C66" s="93">
        <v>45778</v>
      </c>
      <c r="D66" s="91" t="s">
        <v>57</v>
      </c>
      <c r="E66" s="94">
        <v>9720</v>
      </c>
    </row>
    <row r="67" spans="1:5" ht="15" customHeight="1" x14ac:dyDescent="0.25">
      <c r="A67" s="91" t="s">
        <v>51</v>
      </c>
      <c r="B67" s="92">
        <v>2025</v>
      </c>
      <c r="C67" s="93">
        <v>45778</v>
      </c>
      <c r="D67" s="91" t="s">
        <v>60</v>
      </c>
      <c r="E67" s="94">
        <v>103.67</v>
      </c>
    </row>
    <row r="68" spans="1:5" ht="15" customHeight="1" x14ac:dyDescent="0.25">
      <c r="A68" s="91" t="s">
        <v>51</v>
      </c>
      <c r="B68" s="92">
        <v>2025</v>
      </c>
      <c r="C68" s="93">
        <v>45778</v>
      </c>
      <c r="D68" s="91" t="s">
        <v>61</v>
      </c>
      <c r="E68" s="94">
        <v>2198</v>
      </c>
    </row>
    <row r="69" spans="1:5" ht="15" customHeight="1" x14ac:dyDescent="0.25">
      <c r="A69" s="91" t="s">
        <v>51</v>
      </c>
      <c r="B69" s="92">
        <v>2025</v>
      </c>
      <c r="C69" s="93">
        <v>45778</v>
      </c>
      <c r="D69" s="91" t="s">
        <v>62</v>
      </c>
      <c r="E69" s="94">
        <v>394</v>
      </c>
    </row>
    <row r="70" spans="1:5" ht="15" customHeight="1" x14ac:dyDescent="0.25">
      <c r="A70" s="91" t="s">
        <v>51</v>
      </c>
      <c r="B70" s="92">
        <v>2025</v>
      </c>
      <c r="C70" s="93">
        <v>45778</v>
      </c>
      <c r="D70" s="91" t="s">
        <v>63</v>
      </c>
      <c r="E70" s="94">
        <v>84</v>
      </c>
    </row>
    <row r="71" spans="1:5" ht="15" customHeight="1" x14ac:dyDescent="0.25">
      <c r="A71" s="91" t="s">
        <v>51</v>
      </c>
      <c r="B71" s="92">
        <v>2025</v>
      </c>
      <c r="C71" s="93">
        <v>45778</v>
      </c>
      <c r="D71" s="91" t="s">
        <v>64</v>
      </c>
      <c r="E71" s="94">
        <v>805.95</v>
      </c>
    </row>
    <row r="72" spans="1:5" ht="15" customHeight="1" x14ac:dyDescent="0.25">
      <c r="A72" s="91" t="s">
        <v>51</v>
      </c>
      <c r="B72" s="92">
        <v>2025</v>
      </c>
      <c r="C72" s="93">
        <v>45778</v>
      </c>
      <c r="D72" s="91" t="s">
        <v>65</v>
      </c>
      <c r="E72" s="94">
        <v>179.9</v>
      </c>
    </row>
    <row r="73" spans="1:5" ht="15" customHeight="1" x14ac:dyDescent="0.25">
      <c r="A73" s="91" t="s">
        <v>51</v>
      </c>
      <c r="B73" s="92">
        <v>2025</v>
      </c>
      <c r="C73" s="93">
        <v>45778</v>
      </c>
      <c r="D73" s="91" t="s">
        <v>66</v>
      </c>
      <c r="E73" s="94">
        <v>9088.23</v>
      </c>
    </row>
    <row r="74" spans="1:5" ht="15" customHeight="1" x14ac:dyDescent="0.25">
      <c r="A74" s="91" t="s">
        <v>51</v>
      </c>
      <c r="B74" s="92">
        <v>2025</v>
      </c>
      <c r="C74" s="93">
        <v>45778</v>
      </c>
      <c r="D74" s="91" t="s">
        <v>68</v>
      </c>
      <c r="E74" s="94">
        <v>6266.8</v>
      </c>
    </row>
    <row r="75" spans="1:5" ht="15" customHeight="1" x14ac:dyDescent="0.25">
      <c r="A75" s="91" t="s">
        <v>51</v>
      </c>
      <c r="B75" s="92">
        <v>2025</v>
      </c>
      <c r="C75" s="93">
        <v>45778</v>
      </c>
      <c r="D75" s="91" t="s">
        <v>69</v>
      </c>
      <c r="E75" s="94">
        <v>7204.17</v>
      </c>
    </row>
    <row r="76" spans="1:5" ht="15" customHeight="1" x14ac:dyDescent="0.25">
      <c r="A76" s="91" t="s">
        <v>51</v>
      </c>
      <c r="B76" s="92">
        <v>2025</v>
      </c>
      <c r="C76" s="93">
        <v>45778</v>
      </c>
      <c r="D76" s="91" t="s">
        <v>70</v>
      </c>
      <c r="E76" s="94">
        <v>24</v>
      </c>
    </row>
    <row r="77" spans="1:5" ht="15" customHeight="1" x14ac:dyDescent="0.25">
      <c r="A77" s="91" t="s">
        <v>51</v>
      </c>
      <c r="B77" s="92">
        <v>2025</v>
      </c>
      <c r="C77" s="93">
        <v>45778</v>
      </c>
      <c r="D77" s="91" t="s">
        <v>71</v>
      </c>
      <c r="E77" s="94">
        <v>5314</v>
      </c>
    </row>
    <row r="78" spans="1:5" ht="15" customHeight="1" x14ac:dyDescent="0.25">
      <c r="A78" s="91" t="s">
        <v>51</v>
      </c>
      <c r="B78" s="92">
        <v>2025</v>
      </c>
      <c r="C78" s="93">
        <v>45778</v>
      </c>
      <c r="D78" s="91" t="s">
        <v>72</v>
      </c>
      <c r="E78" s="94">
        <v>909.99</v>
      </c>
    </row>
    <row r="79" spans="1:5" ht="15" customHeight="1" x14ac:dyDescent="0.25">
      <c r="A79" s="91" t="s">
        <v>51</v>
      </c>
      <c r="B79" s="92">
        <v>2025</v>
      </c>
      <c r="C79" s="93">
        <v>45778</v>
      </c>
      <c r="D79" s="91" t="s">
        <v>73</v>
      </c>
      <c r="E79" s="94">
        <v>633.01</v>
      </c>
    </row>
    <row r="80" spans="1:5" ht="15" customHeight="1" x14ac:dyDescent="0.25">
      <c r="A80" s="91" t="s">
        <v>51</v>
      </c>
      <c r="B80" s="92">
        <v>2025</v>
      </c>
      <c r="C80" s="93">
        <v>45778</v>
      </c>
      <c r="D80" s="91" t="s">
        <v>74</v>
      </c>
      <c r="E80" s="94">
        <v>380.9</v>
      </c>
    </row>
    <row r="81" spans="1:5" ht="15" customHeight="1" x14ac:dyDescent="0.25">
      <c r="A81" s="91" t="s">
        <v>51</v>
      </c>
      <c r="B81" s="92">
        <v>2025</v>
      </c>
      <c r="C81" s="93">
        <v>45809</v>
      </c>
      <c r="D81" s="91" t="s">
        <v>58</v>
      </c>
      <c r="E81" s="94">
        <v>3450.94</v>
      </c>
    </row>
    <row r="82" spans="1:5" ht="15" customHeight="1" x14ac:dyDescent="0.25">
      <c r="A82" s="91" t="s">
        <v>51</v>
      </c>
      <c r="B82" s="92">
        <v>2025</v>
      </c>
      <c r="C82" s="93">
        <v>45809</v>
      </c>
      <c r="D82" s="91" t="s">
        <v>57</v>
      </c>
      <c r="E82" s="94">
        <v>987.75</v>
      </c>
    </row>
    <row r="83" spans="1:5" ht="15" customHeight="1" x14ac:dyDescent="0.25">
      <c r="A83" s="91" t="s">
        <v>51</v>
      </c>
      <c r="B83" s="92">
        <v>2025</v>
      </c>
      <c r="C83" s="93">
        <v>45809</v>
      </c>
      <c r="D83" s="91" t="s">
        <v>60</v>
      </c>
      <c r="E83" s="94">
        <v>56.18</v>
      </c>
    </row>
    <row r="84" spans="1:5" ht="15" customHeight="1" x14ac:dyDescent="0.25">
      <c r="A84" s="91" t="s">
        <v>51</v>
      </c>
      <c r="B84" s="92">
        <v>2025</v>
      </c>
      <c r="C84" s="93">
        <v>45809</v>
      </c>
      <c r="D84" s="91" t="s">
        <v>61</v>
      </c>
      <c r="E84" s="94">
        <v>1518</v>
      </c>
    </row>
    <row r="85" spans="1:5" ht="15" customHeight="1" x14ac:dyDescent="0.25">
      <c r="A85" s="91" t="s">
        <v>51</v>
      </c>
      <c r="B85" s="92">
        <v>2025</v>
      </c>
      <c r="C85" s="93">
        <v>45809</v>
      </c>
      <c r="D85" s="91" t="s">
        <v>63</v>
      </c>
      <c r="E85" s="94">
        <v>209</v>
      </c>
    </row>
    <row r="86" spans="1:5" ht="15" customHeight="1" x14ac:dyDescent="0.25">
      <c r="A86" s="91" t="s">
        <v>51</v>
      </c>
      <c r="B86" s="92">
        <v>2025</v>
      </c>
      <c r="C86" s="93">
        <v>45809</v>
      </c>
      <c r="D86" s="91" t="s">
        <v>64</v>
      </c>
      <c r="E86" s="94">
        <v>805.95</v>
      </c>
    </row>
    <row r="87" spans="1:5" ht="15" customHeight="1" x14ac:dyDescent="0.25">
      <c r="A87" s="91" t="s">
        <v>51</v>
      </c>
      <c r="B87" s="92">
        <v>2025</v>
      </c>
      <c r="C87" s="93">
        <v>45809</v>
      </c>
      <c r="D87" s="91" t="s">
        <v>65</v>
      </c>
      <c r="E87" s="94">
        <v>179.9</v>
      </c>
    </row>
    <row r="88" spans="1:5" ht="15" customHeight="1" x14ac:dyDescent="0.25">
      <c r="A88" s="91" t="s">
        <v>51</v>
      </c>
      <c r="B88" s="92">
        <v>2025</v>
      </c>
      <c r="C88" s="93">
        <v>45809</v>
      </c>
      <c r="D88" s="91" t="s">
        <v>66</v>
      </c>
      <c r="E88" s="94">
        <v>124.55</v>
      </c>
    </row>
    <row r="89" spans="1:5" ht="15" customHeight="1" x14ac:dyDescent="0.25">
      <c r="A89" s="91" t="s">
        <v>51</v>
      </c>
      <c r="B89" s="92">
        <v>2025</v>
      </c>
      <c r="C89" s="93">
        <v>45809</v>
      </c>
      <c r="D89" s="91" t="s">
        <v>68</v>
      </c>
      <c r="E89" s="94">
        <v>1688.44</v>
      </c>
    </row>
    <row r="90" spans="1:5" ht="15" customHeight="1" x14ac:dyDescent="0.25">
      <c r="A90" s="91" t="s">
        <v>51</v>
      </c>
      <c r="B90" s="92">
        <v>2025</v>
      </c>
      <c r="C90" s="93">
        <v>45809</v>
      </c>
      <c r="D90" s="91" t="s">
        <v>69</v>
      </c>
      <c r="E90" s="94">
        <v>6834.65</v>
      </c>
    </row>
    <row r="91" spans="1:5" ht="15" customHeight="1" x14ac:dyDescent="0.25">
      <c r="A91" s="91" t="s">
        <v>51</v>
      </c>
      <c r="B91" s="92">
        <v>2025</v>
      </c>
      <c r="C91" s="93">
        <v>45809</v>
      </c>
      <c r="D91" s="91" t="s">
        <v>180</v>
      </c>
      <c r="E91" s="94">
        <v>3303.92</v>
      </c>
    </row>
    <row r="92" spans="1:5" ht="15" customHeight="1" x14ac:dyDescent="0.25">
      <c r="A92" s="91" t="s">
        <v>51</v>
      </c>
      <c r="B92" s="92">
        <v>2025</v>
      </c>
      <c r="C92" s="93">
        <v>45809</v>
      </c>
      <c r="D92" s="91" t="s">
        <v>71</v>
      </c>
      <c r="E92" s="94">
        <v>13028</v>
      </c>
    </row>
    <row r="93" spans="1:5" ht="15" customHeight="1" x14ac:dyDescent="0.25">
      <c r="A93" s="91" t="s">
        <v>51</v>
      </c>
      <c r="B93" s="92">
        <v>2025</v>
      </c>
      <c r="C93" s="93">
        <v>45809</v>
      </c>
      <c r="D93" s="91" t="s">
        <v>72</v>
      </c>
      <c r="E93" s="94">
        <v>1072.04</v>
      </c>
    </row>
    <row r="94" spans="1:5" ht="15" customHeight="1" x14ac:dyDescent="0.25">
      <c r="A94" s="91" t="s">
        <v>51</v>
      </c>
      <c r="B94" s="92">
        <v>2025</v>
      </c>
      <c r="C94" s="93">
        <v>45809</v>
      </c>
      <c r="D94" s="91" t="s">
        <v>73</v>
      </c>
      <c r="E94" s="94">
        <v>633.01</v>
      </c>
    </row>
    <row r="95" spans="1:5" ht="15" customHeight="1" x14ac:dyDescent="0.25">
      <c r="A95" s="91" t="s">
        <v>51</v>
      </c>
      <c r="B95" s="92">
        <v>2025</v>
      </c>
      <c r="C95" s="93">
        <v>45809</v>
      </c>
      <c r="D95" s="91" t="s">
        <v>74</v>
      </c>
      <c r="E95" s="94">
        <v>181</v>
      </c>
    </row>
    <row r="96" spans="1:5" ht="15" customHeight="1" x14ac:dyDescent="0.25">
      <c r="A96" s="91" t="s">
        <v>51</v>
      </c>
      <c r="B96" s="92">
        <v>2025</v>
      </c>
      <c r="C96" s="93">
        <v>45839</v>
      </c>
      <c r="D96" s="91" t="s">
        <v>58</v>
      </c>
      <c r="E96" s="94">
        <v>2826.23</v>
      </c>
    </row>
    <row r="97" spans="1:5" ht="15" customHeight="1" x14ac:dyDescent="0.25">
      <c r="A97" s="91" t="s">
        <v>51</v>
      </c>
      <c r="B97" s="92">
        <v>2025</v>
      </c>
      <c r="C97" s="93">
        <v>45839</v>
      </c>
      <c r="D97" s="91" t="s">
        <v>181</v>
      </c>
      <c r="E97" s="94">
        <v>194467.98</v>
      </c>
    </row>
    <row r="98" spans="1:5" ht="15" customHeight="1" x14ac:dyDescent="0.25">
      <c r="A98" s="91" t="s">
        <v>51</v>
      </c>
      <c r="B98" s="92">
        <v>2025</v>
      </c>
      <c r="C98" s="93">
        <v>45839</v>
      </c>
      <c r="D98" s="91" t="s">
        <v>59</v>
      </c>
      <c r="E98" s="94">
        <v>25996.84</v>
      </c>
    </row>
    <row r="99" spans="1:5" ht="15" customHeight="1" x14ac:dyDescent="0.25">
      <c r="A99" s="91" t="s">
        <v>51</v>
      </c>
      <c r="B99" s="92">
        <v>2025</v>
      </c>
      <c r="C99" s="93">
        <v>45839</v>
      </c>
      <c r="D99" s="91" t="s">
        <v>57</v>
      </c>
      <c r="E99" s="94">
        <v>1739.25</v>
      </c>
    </row>
    <row r="100" spans="1:5" ht="15" customHeight="1" x14ac:dyDescent="0.25">
      <c r="A100" s="91" t="s">
        <v>51</v>
      </c>
      <c r="B100" s="92">
        <v>2025</v>
      </c>
      <c r="C100" s="93">
        <v>45839</v>
      </c>
      <c r="D100" s="91" t="s">
        <v>60</v>
      </c>
      <c r="E100" s="94">
        <v>87.37</v>
      </c>
    </row>
    <row r="101" spans="1:5" ht="15" customHeight="1" x14ac:dyDescent="0.25">
      <c r="A101" s="91" t="s">
        <v>51</v>
      </c>
      <c r="B101" s="92">
        <v>2025</v>
      </c>
      <c r="C101" s="93">
        <v>45839</v>
      </c>
      <c r="D101" s="91" t="s">
        <v>182</v>
      </c>
      <c r="E101" s="94">
        <v>187.56</v>
      </c>
    </row>
    <row r="102" spans="1:5" ht="15" customHeight="1" x14ac:dyDescent="0.25">
      <c r="A102" s="91" t="s">
        <v>51</v>
      </c>
      <c r="B102" s="92">
        <v>2025</v>
      </c>
      <c r="C102" s="93">
        <v>45839</v>
      </c>
      <c r="D102" s="91" t="s">
        <v>61</v>
      </c>
      <c r="E102" s="94">
        <v>1518</v>
      </c>
    </row>
    <row r="103" spans="1:5" ht="15" customHeight="1" x14ac:dyDescent="0.25">
      <c r="A103" s="91" t="s">
        <v>51</v>
      </c>
      <c r="B103" s="92">
        <v>2025</v>
      </c>
      <c r="C103" s="93">
        <v>45839</v>
      </c>
      <c r="D103" s="91" t="s">
        <v>62</v>
      </c>
      <c r="E103" s="94">
        <v>871</v>
      </c>
    </row>
    <row r="104" spans="1:5" ht="15" customHeight="1" x14ac:dyDescent="0.25">
      <c r="A104" s="91" t="s">
        <v>51</v>
      </c>
      <c r="B104" s="92">
        <v>2025</v>
      </c>
      <c r="C104" s="93">
        <v>45839</v>
      </c>
      <c r="D104" s="91" t="s">
        <v>63</v>
      </c>
      <c r="E104" s="94">
        <v>209</v>
      </c>
    </row>
    <row r="105" spans="1:5" ht="15" customHeight="1" x14ac:dyDescent="0.25">
      <c r="A105" s="91" t="s">
        <v>51</v>
      </c>
      <c r="B105" s="92">
        <v>2025</v>
      </c>
      <c r="C105" s="93">
        <v>45839</v>
      </c>
      <c r="D105" s="91" t="s">
        <v>64</v>
      </c>
      <c r="E105" s="94">
        <v>805.99</v>
      </c>
    </row>
    <row r="106" spans="1:5" ht="15" customHeight="1" x14ac:dyDescent="0.25">
      <c r="A106" s="91" t="s">
        <v>51</v>
      </c>
      <c r="B106" s="92">
        <v>2025</v>
      </c>
      <c r="C106" s="93">
        <v>45839</v>
      </c>
      <c r="D106" s="91" t="s">
        <v>65</v>
      </c>
      <c r="E106" s="94">
        <v>179.9</v>
      </c>
    </row>
    <row r="107" spans="1:5" ht="15" customHeight="1" x14ac:dyDescent="0.25">
      <c r="A107" s="91" t="s">
        <v>51</v>
      </c>
      <c r="B107" s="92">
        <v>2025</v>
      </c>
      <c r="C107" s="93">
        <v>45839</v>
      </c>
      <c r="D107" s="91" t="s">
        <v>66</v>
      </c>
      <c r="E107" s="94">
        <v>14.08</v>
      </c>
    </row>
    <row r="108" spans="1:5" ht="15" customHeight="1" x14ac:dyDescent="0.25">
      <c r="A108" s="91" t="s">
        <v>51</v>
      </c>
      <c r="B108" s="92">
        <v>2025</v>
      </c>
      <c r="C108" s="93">
        <v>45839</v>
      </c>
      <c r="D108" s="91" t="s">
        <v>67</v>
      </c>
      <c r="E108" s="94">
        <v>136907.74</v>
      </c>
    </row>
    <row r="109" spans="1:5" ht="15" customHeight="1" x14ac:dyDescent="0.25">
      <c r="A109" s="91" t="s">
        <v>51</v>
      </c>
      <c r="B109" s="92">
        <v>2025</v>
      </c>
      <c r="C109" s="93">
        <v>45839</v>
      </c>
      <c r="D109" s="91" t="s">
        <v>68</v>
      </c>
      <c r="E109" s="94">
        <v>14552.05</v>
      </c>
    </row>
    <row r="110" spans="1:5" ht="15" customHeight="1" x14ac:dyDescent="0.25">
      <c r="A110" s="91" t="s">
        <v>51</v>
      </c>
      <c r="B110" s="92">
        <v>2025</v>
      </c>
      <c r="C110" s="93">
        <v>45839</v>
      </c>
      <c r="D110" s="91" t="s">
        <v>69</v>
      </c>
      <c r="E110" s="94">
        <v>5944.39</v>
      </c>
    </row>
    <row r="111" spans="1:5" ht="15" customHeight="1" x14ac:dyDescent="0.25">
      <c r="A111" s="91" t="s">
        <v>51</v>
      </c>
      <c r="B111" s="92">
        <v>2025</v>
      </c>
      <c r="C111" s="93">
        <v>45839</v>
      </c>
      <c r="D111" s="91" t="s">
        <v>78</v>
      </c>
      <c r="E111" s="94">
        <v>0.09</v>
      </c>
    </row>
    <row r="112" spans="1:5" ht="15" customHeight="1" x14ac:dyDescent="0.25">
      <c r="A112" s="91" t="s">
        <v>51</v>
      </c>
      <c r="B112" s="92">
        <v>2025</v>
      </c>
      <c r="C112" s="93">
        <v>45839</v>
      </c>
      <c r="D112" s="91" t="s">
        <v>180</v>
      </c>
      <c r="E112" s="94">
        <v>9016.4</v>
      </c>
    </row>
    <row r="113" spans="1:5" ht="15" customHeight="1" x14ac:dyDescent="0.25">
      <c r="A113" s="91" t="s">
        <v>51</v>
      </c>
      <c r="B113" s="92">
        <v>2025</v>
      </c>
      <c r="C113" s="93">
        <v>45839</v>
      </c>
      <c r="D113" s="91" t="s">
        <v>71</v>
      </c>
      <c r="E113" s="94">
        <v>8314</v>
      </c>
    </row>
    <row r="114" spans="1:5" ht="15" customHeight="1" x14ac:dyDescent="0.25">
      <c r="A114" s="91" t="s">
        <v>51</v>
      </c>
      <c r="B114" s="92">
        <v>2025</v>
      </c>
      <c r="C114" s="93">
        <v>45839</v>
      </c>
      <c r="D114" s="91" t="s">
        <v>72</v>
      </c>
      <c r="E114" s="94">
        <v>1283.68</v>
      </c>
    </row>
    <row r="115" spans="1:5" ht="15" customHeight="1" x14ac:dyDescent="0.25">
      <c r="A115" s="91" t="s">
        <v>51</v>
      </c>
      <c r="B115" s="92">
        <v>2025</v>
      </c>
      <c r="C115" s="93">
        <v>45839</v>
      </c>
      <c r="D115" s="91" t="s">
        <v>73</v>
      </c>
      <c r="E115" s="94">
        <v>633.01</v>
      </c>
    </row>
    <row r="116" spans="1:5" ht="15" customHeight="1" x14ac:dyDescent="0.25">
      <c r="A116" s="91" t="s">
        <v>51</v>
      </c>
      <c r="B116" s="92">
        <v>2025</v>
      </c>
      <c r="C116" s="93">
        <v>45839</v>
      </c>
      <c r="D116" s="91" t="s">
        <v>74</v>
      </c>
      <c r="E116" s="94">
        <v>95</v>
      </c>
    </row>
    <row r="117" spans="1:5" ht="15" customHeight="1" x14ac:dyDescent="0.25">
      <c r="A117" s="91" t="s">
        <v>51</v>
      </c>
      <c r="B117" s="92">
        <v>2025</v>
      </c>
      <c r="C117" s="93">
        <v>45870</v>
      </c>
      <c r="D117" s="91" t="s">
        <v>191</v>
      </c>
      <c r="E117" s="94">
        <v>390</v>
      </c>
    </row>
    <row r="118" spans="1:5" ht="15" customHeight="1" x14ac:dyDescent="0.25">
      <c r="A118" s="91" t="s">
        <v>51</v>
      </c>
      <c r="B118" s="92">
        <v>2025</v>
      </c>
      <c r="C118" s="93">
        <v>45870</v>
      </c>
      <c r="D118" s="91" t="s">
        <v>192</v>
      </c>
      <c r="E118" s="94">
        <v>146374.68</v>
      </c>
    </row>
    <row r="119" spans="1:5" ht="15" customHeight="1" x14ac:dyDescent="0.25">
      <c r="A119" s="91" t="s">
        <v>51</v>
      </c>
      <c r="B119" s="92">
        <v>2025</v>
      </c>
      <c r="C119" s="93">
        <v>45870</v>
      </c>
      <c r="D119" s="91" t="s">
        <v>60</v>
      </c>
      <c r="E119" s="94">
        <v>86.19</v>
      </c>
    </row>
    <row r="120" spans="1:5" ht="15" customHeight="1" x14ac:dyDescent="0.25">
      <c r="A120" s="91" t="s">
        <v>51</v>
      </c>
      <c r="B120" s="92">
        <v>2025</v>
      </c>
      <c r="C120" s="93">
        <v>45870</v>
      </c>
      <c r="D120" s="91" t="s">
        <v>193</v>
      </c>
      <c r="E120" s="94">
        <v>7500</v>
      </c>
    </row>
    <row r="121" spans="1:5" ht="15" customHeight="1" x14ac:dyDescent="0.25">
      <c r="A121" s="91" t="s">
        <v>51</v>
      </c>
      <c r="B121" s="92">
        <v>2025</v>
      </c>
      <c r="C121" s="93">
        <v>45870</v>
      </c>
      <c r="D121" s="91" t="s">
        <v>61</v>
      </c>
      <c r="E121" s="94">
        <v>1518</v>
      </c>
    </row>
    <row r="122" spans="1:5" ht="15" customHeight="1" x14ac:dyDescent="0.25">
      <c r="A122" s="91" t="s">
        <v>51</v>
      </c>
      <c r="B122" s="92">
        <v>2025</v>
      </c>
      <c r="C122" s="93">
        <v>45870</v>
      </c>
      <c r="D122" s="91" t="s">
        <v>63</v>
      </c>
      <c r="E122" s="94">
        <v>219.37</v>
      </c>
    </row>
    <row r="123" spans="1:5" ht="15" customHeight="1" x14ac:dyDescent="0.25">
      <c r="A123" s="91" t="s">
        <v>51</v>
      </c>
      <c r="B123" s="92">
        <v>2025</v>
      </c>
      <c r="C123" s="93">
        <v>45870</v>
      </c>
      <c r="D123" s="91" t="s">
        <v>64</v>
      </c>
      <c r="E123" s="94">
        <v>806</v>
      </c>
    </row>
    <row r="124" spans="1:5" ht="15" customHeight="1" x14ac:dyDescent="0.25">
      <c r="A124" s="91" t="s">
        <v>51</v>
      </c>
      <c r="B124" s="92">
        <v>2025</v>
      </c>
      <c r="C124" s="93">
        <v>45870</v>
      </c>
      <c r="D124" s="91" t="s">
        <v>65</v>
      </c>
      <c r="E124" s="94">
        <v>179.9</v>
      </c>
    </row>
    <row r="125" spans="1:5" ht="15" customHeight="1" x14ac:dyDescent="0.25">
      <c r="A125" s="91" t="s">
        <v>51</v>
      </c>
      <c r="B125" s="92">
        <v>2025</v>
      </c>
      <c r="C125" s="93">
        <v>45870</v>
      </c>
      <c r="D125" s="91" t="s">
        <v>66</v>
      </c>
      <c r="E125" s="94">
        <v>101.76</v>
      </c>
    </row>
    <row r="126" spans="1:5" ht="15" customHeight="1" x14ac:dyDescent="0.25">
      <c r="A126" s="91" t="s">
        <v>51</v>
      </c>
      <c r="B126" s="92">
        <v>2025</v>
      </c>
      <c r="C126" s="93">
        <v>45870</v>
      </c>
      <c r="D126" s="91" t="s">
        <v>67</v>
      </c>
      <c r="E126" s="94">
        <v>1643.66</v>
      </c>
    </row>
    <row r="127" spans="1:5" ht="15" customHeight="1" x14ac:dyDescent="0.25">
      <c r="A127" s="91" t="s">
        <v>51</v>
      </c>
      <c r="B127" s="92">
        <v>2025</v>
      </c>
      <c r="C127" s="93">
        <v>45870</v>
      </c>
      <c r="D127" s="91" t="s">
        <v>68</v>
      </c>
      <c r="E127" s="94">
        <v>2965.84</v>
      </c>
    </row>
    <row r="128" spans="1:5" ht="15" customHeight="1" x14ac:dyDescent="0.25">
      <c r="A128" s="91" t="s">
        <v>51</v>
      </c>
      <c r="B128" s="92">
        <v>2025</v>
      </c>
      <c r="C128" s="93">
        <v>45870</v>
      </c>
      <c r="D128" s="91" t="s">
        <v>69</v>
      </c>
      <c r="E128" s="94">
        <v>5389.8</v>
      </c>
    </row>
    <row r="129" spans="1:5" ht="15" customHeight="1" x14ac:dyDescent="0.25">
      <c r="A129" s="91" t="s">
        <v>51</v>
      </c>
      <c r="B129" s="92">
        <v>2025</v>
      </c>
      <c r="C129" s="93">
        <v>45870</v>
      </c>
      <c r="D129" s="91" t="s">
        <v>78</v>
      </c>
      <c r="E129" s="94">
        <v>0.04</v>
      </c>
    </row>
    <row r="130" spans="1:5" ht="15" customHeight="1" x14ac:dyDescent="0.25">
      <c r="A130" s="91" t="s">
        <v>51</v>
      </c>
      <c r="B130" s="92">
        <v>2025</v>
      </c>
      <c r="C130" s="93">
        <v>45870</v>
      </c>
      <c r="D130" s="91" t="s">
        <v>180</v>
      </c>
      <c r="E130" s="94">
        <v>2403.9</v>
      </c>
    </row>
    <row r="131" spans="1:5" ht="15" customHeight="1" x14ac:dyDescent="0.25">
      <c r="A131" s="91" t="s">
        <v>51</v>
      </c>
      <c r="B131" s="92">
        <v>2025</v>
      </c>
      <c r="C131" s="93">
        <v>45870</v>
      </c>
      <c r="D131" s="91" t="s">
        <v>194</v>
      </c>
      <c r="E131" s="94">
        <v>490</v>
      </c>
    </row>
    <row r="132" spans="1:5" ht="15" customHeight="1" x14ac:dyDescent="0.25">
      <c r="A132" s="91" t="s">
        <v>51</v>
      </c>
      <c r="B132" s="92">
        <v>2025</v>
      </c>
      <c r="C132" s="93">
        <v>45870</v>
      </c>
      <c r="D132" s="91" t="s">
        <v>71</v>
      </c>
      <c r="E132" s="94">
        <v>186314</v>
      </c>
    </row>
    <row r="133" spans="1:5" ht="15" customHeight="1" x14ac:dyDescent="0.25">
      <c r="A133" s="91" t="s">
        <v>51</v>
      </c>
      <c r="B133" s="92">
        <v>2025</v>
      </c>
      <c r="C133" s="93">
        <v>45870</v>
      </c>
      <c r="D133" s="91" t="s">
        <v>73</v>
      </c>
      <c r="E133" s="94">
        <v>633.01</v>
      </c>
    </row>
    <row r="134" spans="1:5" ht="15" customHeight="1" x14ac:dyDescent="0.25">
      <c r="A134" s="91" t="s">
        <v>51</v>
      </c>
      <c r="B134" s="92">
        <v>2025</v>
      </c>
      <c r="C134" s="93">
        <v>45870</v>
      </c>
      <c r="D134" s="91" t="s">
        <v>74</v>
      </c>
      <c r="E134" s="94">
        <v>95</v>
      </c>
    </row>
    <row r="135" spans="1:5" ht="15" customHeight="1" x14ac:dyDescent="0.25">
      <c r="A135" s="91" t="s">
        <v>51</v>
      </c>
      <c r="B135" s="92">
        <v>2025</v>
      </c>
      <c r="C135" s="93">
        <v>45901</v>
      </c>
      <c r="D135" s="91" t="s">
        <v>58</v>
      </c>
      <c r="E135" s="94">
        <v>367.59</v>
      </c>
    </row>
    <row r="136" spans="1:5" ht="15" customHeight="1" x14ac:dyDescent="0.25">
      <c r="A136" s="91" t="s">
        <v>51</v>
      </c>
      <c r="B136" s="92">
        <v>2025</v>
      </c>
      <c r="C136" s="93">
        <v>45901</v>
      </c>
      <c r="D136" s="91" t="s">
        <v>198</v>
      </c>
      <c r="E136" s="94">
        <v>78.5</v>
      </c>
    </row>
    <row r="137" spans="1:5" ht="17.25" customHeight="1" x14ac:dyDescent="0.25">
      <c r="A137" s="91" t="s">
        <v>51</v>
      </c>
      <c r="B137" s="92">
        <v>2025</v>
      </c>
      <c r="C137" s="93">
        <v>45901</v>
      </c>
      <c r="D137" s="91" t="s">
        <v>76</v>
      </c>
      <c r="E137" s="94">
        <v>5880.1</v>
      </c>
    </row>
    <row r="138" spans="1:5" ht="15" customHeight="1" x14ac:dyDescent="0.25">
      <c r="A138" s="91" t="s">
        <v>51</v>
      </c>
      <c r="B138" s="92">
        <v>2025</v>
      </c>
      <c r="C138" s="93">
        <v>45901</v>
      </c>
      <c r="D138" s="91" t="s">
        <v>199</v>
      </c>
      <c r="E138" s="94">
        <v>427.14</v>
      </c>
    </row>
    <row r="139" spans="1:5" ht="15" customHeight="1" x14ac:dyDescent="0.25">
      <c r="A139" s="91" t="s">
        <v>51</v>
      </c>
      <c r="B139" s="92">
        <v>2025</v>
      </c>
      <c r="C139" s="93">
        <v>45901</v>
      </c>
      <c r="D139" s="91" t="s">
        <v>57</v>
      </c>
      <c r="E139" s="94">
        <v>130</v>
      </c>
    </row>
    <row r="140" spans="1:5" ht="15" customHeight="1" x14ac:dyDescent="0.25">
      <c r="A140" s="91" t="s">
        <v>51</v>
      </c>
      <c r="B140" s="92">
        <v>2025</v>
      </c>
      <c r="C140" s="93">
        <v>45901</v>
      </c>
      <c r="D140" s="91" t="s">
        <v>60</v>
      </c>
      <c r="E140" s="94">
        <v>82.57</v>
      </c>
    </row>
    <row r="141" spans="1:5" ht="15" customHeight="1" x14ac:dyDescent="0.25">
      <c r="A141" s="91" t="s">
        <v>51</v>
      </c>
      <c r="B141" s="92">
        <v>2025</v>
      </c>
      <c r="C141" s="93">
        <v>45901</v>
      </c>
      <c r="D141" s="91" t="s">
        <v>61</v>
      </c>
      <c r="E141" s="94">
        <v>1518</v>
      </c>
    </row>
    <row r="142" spans="1:5" ht="15" customHeight="1" x14ac:dyDescent="0.25">
      <c r="A142" s="91" t="s">
        <v>51</v>
      </c>
      <c r="B142" s="92">
        <v>2025</v>
      </c>
      <c r="C142" s="93">
        <v>45901</v>
      </c>
      <c r="D142" s="91" t="s">
        <v>63</v>
      </c>
      <c r="E142" s="94">
        <v>223</v>
      </c>
    </row>
    <row r="143" spans="1:5" ht="15" customHeight="1" x14ac:dyDescent="0.25">
      <c r="A143" s="91" t="s">
        <v>51</v>
      </c>
      <c r="B143" s="92">
        <v>2025</v>
      </c>
      <c r="C143" s="93">
        <v>45901</v>
      </c>
      <c r="D143" s="91" t="s">
        <v>64</v>
      </c>
      <c r="E143" s="94">
        <v>806</v>
      </c>
    </row>
    <row r="144" spans="1:5" ht="15" customHeight="1" x14ac:dyDescent="0.25">
      <c r="A144" s="91" t="s">
        <v>51</v>
      </c>
      <c r="B144" s="92">
        <v>2025</v>
      </c>
      <c r="C144" s="93">
        <v>45901</v>
      </c>
      <c r="D144" s="91" t="s">
        <v>65</v>
      </c>
      <c r="E144" s="94">
        <v>179.9</v>
      </c>
    </row>
    <row r="145" spans="1:5" ht="15" customHeight="1" x14ac:dyDescent="0.25">
      <c r="A145" s="91" t="s">
        <v>51</v>
      </c>
      <c r="B145" s="92">
        <v>2025</v>
      </c>
      <c r="C145" s="93">
        <v>45901</v>
      </c>
      <c r="D145" s="91" t="s">
        <v>66</v>
      </c>
      <c r="E145" s="94">
        <v>107.64</v>
      </c>
    </row>
    <row r="146" spans="1:5" ht="15" customHeight="1" x14ac:dyDescent="0.25">
      <c r="A146" s="91" t="s">
        <v>51</v>
      </c>
      <c r="B146" s="92">
        <v>2025</v>
      </c>
      <c r="C146" s="93">
        <v>45901</v>
      </c>
      <c r="D146" s="91" t="s">
        <v>67</v>
      </c>
      <c r="E146" s="94">
        <v>427.01</v>
      </c>
    </row>
    <row r="147" spans="1:5" ht="15" customHeight="1" x14ac:dyDescent="0.25">
      <c r="A147" s="91" t="s">
        <v>51</v>
      </c>
      <c r="B147" s="92">
        <v>2025</v>
      </c>
      <c r="C147" s="93">
        <v>45901</v>
      </c>
      <c r="D147" s="91" t="s">
        <v>68</v>
      </c>
      <c r="E147" s="94">
        <v>20191.53</v>
      </c>
    </row>
    <row r="148" spans="1:5" ht="15" customHeight="1" x14ac:dyDescent="0.25">
      <c r="A148" s="91" t="s">
        <v>51</v>
      </c>
      <c r="B148" s="92">
        <v>2025</v>
      </c>
      <c r="C148" s="93">
        <v>45901</v>
      </c>
      <c r="D148" s="91" t="s">
        <v>69</v>
      </c>
      <c r="E148" s="94">
        <v>4653.62</v>
      </c>
    </row>
    <row r="149" spans="1:5" ht="15" customHeight="1" x14ac:dyDescent="0.25">
      <c r="A149" s="91" t="s">
        <v>51</v>
      </c>
      <c r="B149" s="92">
        <v>2025</v>
      </c>
      <c r="C149" s="93">
        <v>45901</v>
      </c>
      <c r="D149" s="91" t="s">
        <v>180</v>
      </c>
      <c r="E149" s="94">
        <v>2266.33</v>
      </c>
    </row>
    <row r="150" spans="1:5" ht="15" customHeight="1" x14ac:dyDescent="0.25">
      <c r="A150" s="91" t="s">
        <v>51</v>
      </c>
      <c r="B150" s="92">
        <v>2025</v>
      </c>
      <c r="C150" s="93">
        <v>45901</v>
      </c>
      <c r="D150" s="91" t="s">
        <v>71</v>
      </c>
      <c r="E150" s="94">
        <v>25314</v>
      </c>
    </row>
    <row r="151" spans="1:5" ht="15" customHeight="1" x14ac:dyDescent="0.25">
      <c r="A151" s="91" t="s">
        <v>51</v>
      </c>
      <c r="B151" s="92">
        <v>2025</v>
      </c>
      <c r="C151" s="93">
        <v>45901</v>
      </c>
      <c r="D151" s="91" t="s">
        <v>72</v>
      </c>
      <c r="E151" s="94">
        <v>84.29</v>
      </c>
    </row>
    <row r="152" spans="1:5" ht="15" customHeight="1" x14ac:dyDescent="0.25">
      <c r="A152" s="91" t="s">
        <v>51</v>
      </c>
      <c r="B152" s="92">
        <v>2025</v>
      </c>
      <c r="C152" s="93">
        <v>45901</v>
      </c>
      <c r="D152" s="91" t="s">
        <v>73</v>
      </c>
      <c r="E152" s="94">
        <v>633.01</v>
      </c>
    </row>
    <row r="153" spans="1:5" ht="15" customHeight="1" x14ac:dyDescent="0.25">
      <c r="A153" s="91" t="s">
        <v>51</v>
      </c>
      <c r="B153" s="92">
        <v>2025</v>
      </c>
      <c r="C153" s="93">
        <v>45901</v>
      </c>
      <c r="D153" s="91" t="s">
        <v>74</v>
      </c>
      <c r="E153" s="94">
        <v>95</v>
      </c>
    </row>
    <row r="154" spans="1:5" ht="15" customHeight="1" x14ac:dyDescent="0.25">
      <c r="A154" s="91" t="s">
        <v>51</v>
      </c>
      <c r="B154" s="92">
        <v>2025</v>
      </c>
      <c r="C154" s="93">
        <v>45931</v>
      </c>
      <c r="D154" s="91" t="s">
        <v>59</v>
      </c>
      <c r="E154" s="94">
        <v>4994.87</v>
      </c>
    </row>
    <row r="155" spans="1:5" ht="15" customHeight="1" x14ac:dyDescent="0.25">
      <c r="A155" s="91" t="s">
        <v>51</v>
      </c>
      <c r="B155" s="92">
        <v>2025</v>
      </c>
      <c r="C155" s="93">
        <v>45931</v>
      </c>
      <c r="D155" s="91" t="s">
        <v>76</v>
      </c>
      <c r="E155" s="94">
        <v>62.21</v>
      </c>
    </row>
    <row r="156" spans="1:5" ht="15" customHeight="1" x14ac:dyDescent="0.25">
      <c r="A156" s="91" t="s">
        <v>51</v>
      </c>
      <c r="B156" s="92">
        <v>2025</v>
      </c>
      <c r="C156" s="93">
        <v>45931</v>
      </c>
      <c r="D156" s="91" t="s">
        <v>60</v>
      </c>
      <c r="E156" s="94">
        <v>86.99</v>
      </c>
    </row>
    <row r="157" spans="1:5" ht="15" customHeight="1" x14ac:dyDescent="0.25">
      <c r="A157" s="91" t="s">
        <v>51</v>
      </c>
      <c r="B157" s="92">
        <v>2025</v>
      </c>
      <c r="C157" s="93">
        <v>45931</v>
      </c>
      <c r="D157" s="91" t="s">
        <v>61</v>
      </c>
      <c r="E157" s="94">
        <v>1518</v>
      </c>
    </row>
    <row r="158" spans="1:5" ht="15" customHeight="1" x14ac:dyDescent="0.25">
      <c r="A158" s="91" t="s">
        <v>51</v>
      </c>
      <c r="B158" s="92">
        <v>2025</v>
      </c>
      <c r="C158" s="93">
        <v>45931</v>
      </c>
      <c r="D158" s="91" t="s">
        <v>62</v>
      </c>
      <c r="E158" s="94">
        <v>700.4</v>
      </c>
    </row>
    <row r="159" spans="1:5" ht="15" customHeight="1" x14ac:dyDescent="0.25">
      <c r="A159" s="91" t="s">
        <v>51</v>
      </c>
      <c r="B159" s="92">
        <v>2025</v>
      </c>
      <c r="C159" s="93">
        <v>45931</v>
      </c>
      <c r="D159" s="91" t="s">
        <v>63</v>
      </c>
      <c r="E159" s="94">
        <v>125</v>
      </c>
    </row>
    <row r="160" spans="1:5" ht="15" customHeight="1" x14ac:dyDescent="0.25">
      <c r="A160" s="91" t="s">
        <v>51</v>
      </c>
      <c r="B160" s="92">
        <v>2025</v>
      </c>
      <c r="C160" s="93">
        <v>45931</v>
      </c>
      <c r="D160" s="91" t="s">
        <v>64</v>
      </c>
      <c r="E160" s="94">
        <v>806</v>
      </c>
    </row>
    <row r="161" spans="1:5" ht="15" customHeight="1" x14ac:dyDescent="0.25">
      <c r="A161" s="91" t="s">
        <v>51</v>
      </c>
      <c r="B161" s="92">
        <v>2025</v>
      </c>
      <c r="C161" s="93">
        <v>45931</v>
      </c>
      <c r="D161" s="91" t="s">
        <v>65</v>
      </c>
      <c r="E161" s="94">
        <v>179.9</v>
      </c>
    </row>
    <row r="162" spans="1:5" ht="15" customHeight="1" x14ac:dyDescent="0.25">
      <c r="A162" s="91" t="s">
        <v>51</v>
      </c>
      <c r="B162" s="92">
        <v>2025</v>
      </c>
      <c r="C162" s="93">
        <v>45931</v>
      </c>
      <c r="D162" s="91" t="s">
        <v>66</v>
      </c>
      <c r="E162" s="94">
        <v>110.97</v>
      </c>
    </row>
    <row r="163" spans="1:5" ht="15" customHeight="1" x14ac:dyDescent="0.25">
      <c r="A163" s="91" t="s">
        <v>51</v>
      </c>
      <c r="B163" s="92">
        <v>2025</v>
      </c>
      <c r="C163" s="93">
        <v>45931</v>
      </c>
      <c r="D163" s="91" t="s">
        <v>67</v>
      </c>
      <c r="E163" s="94">
        <v>101839.5</v>
      </c>
    </row>
    <row r="164" spans="1:5" ht="15" customHeight="1" x14ac:dyDescent="0.25">
      <c r="A164" s="91" t="s">
        <v>51</v>
      </c>
      <c r="B164" s="92">
        <v>2025</v>
      </c>
      <c r="C164" s="93">
        <v>45931</v>
      </c>
      <c r="D164" s="91" t="s">
        <v>68</v>
      </c>
      <c r="E164" s="94">
        <v>12130.96</v>
      </c>
    </row>
    <row r="165" spans="1:5" ht="15" customHeight="1" x14ac:dyDescent="0.25">
      <c r="A165" s="91" t="s">
        <v>51</v>
      </c>
      <c r="B165" s="92">
        <v>2025</v>
      </c>
      <c r="C165" s="93">
        <v>45931</v>
      </c>
      <c r="D165" s="91" t="s">
        <v>69</v>
      </c>
      <c r="E165" s="94">
        <v>3780.63</v>
      </c>
    </row>
    <row r="166" spans="1:5" ht="15" customHeight="1" x14ac:dyDescent="0.25">
      <c r="A166" s="91" t="s">
        <v>51</v>
      </c>
      <c r="B166" s="92">
        <v>2025</v>
      </c>
      <c r="C166" s="93">
        <v>45931</v>
      </c>
      <c r="D166" s="91" t="s">
        <v>180</v>
      </c>
      <c r="E166" s="94">
        <v>2243.1799999999998</v>
      </c>
    </row>
    <row r="167" spans="1:5" ht="15" customHeight="1" x14ac:dyDescent="0.25">
      <c r="A167" s="91" t="s">
        <v>51</v>
      </c>
      <c r="B167" s="92">
        <v>2025</v>
      </c>
      <c r="C167" s="93">
        <v>45931</v>
      </c>
      <c r="D167" s="91" t="s">
        <v>71</v>
      </c>
      <c r="E167" s="94">
        <v>35314</v>
      </c>
    </row>
    <row r="168" spans="1:5" ht="15" customHeight="1" x14ac:dyDescent="0.25">
      <c r="A168" s="91" t="s">
        <v>51</v>
      </c>
      <c r="B168" s="92">
        <v>2025</v>
      </c>
      <c r="C168" s="93">
        <v>45931</v>
      </c>
      <c r="D168" s="91" t="s">
        <v>73</v>
      </c>
      <c r="E168" s="94">
        <v>633.01</v>
      </c>
    </row>
    <row r="169" spans="1:5" ht="15" customHeight="1" x14ac:dyDescent="0.25">
      <c r="A169" s="91" t="s">
        <v>51</v>
      </c>
      <c r="B169" s="92">
        <v>2025</v>
      </c>
      <c r="C169" s="93">
        <v>45931</v>
      </c>
      <c r="D169" s="91" t="s">
        <v>74</v>
      </c>
      <c r="E169" s="94">
        <v>95</v>
      </c>
    </row>
    <row r="170" spans="1:5" ht="15" customHeight="1" x14ac:dyDescent="0.25">
      <c r="A170" s="91" t="s">
        <v>51</v>
      </c>
      <c r="B170" s="92">
        <v>2025</v>
      </c>
      <c r="C170" s="93">
        <v>45962</v>
      </c>
      <c r="D170" s="91" t="s">
        <v>76</v>
      </c>
      <c r="E170" s="94">
        <v>518.77</v>
      </c>
    </row>
    <row r="171" spans="1:5" ht="15" customHeight="1" x14ac:dyDescent="0.25">
      <c r="A171" s="91" t="s">
        <v>51</v>
      </c>
      <c r="B171" s="92">
        <v>2025</v>
      </c>
      <c r="C171" s="93">
        <v>45962</v>
      </c>
      <c r="D171" s="91" t="s">
        <v>60</v>
      </c>
      <c r="E171" s="94">
        <v>121.94</v>
      </c>
    </row>
    <row r="172" spans="1:5" ht="15" customHeight="1" x14ac:dyDescent="0.25">
      <c r="A172" s="91" t="s">
        <v>51</v>
      </c>
      <c r="B172" s="92">
        <v>2025</v>
      </c>
      <c r="C172" s="93">
        <v>45962</v>
      </c>
      <c r="D172" s="91" t="s">
        <v>61</v>
      </c>
      <c r="E172" s="94">
        <v>1518</v>
      </c>
    </row>
    <row r="173" spans="1:5" ht="15" customHeight="1" x14ac:dyDescent="0.25">
      <c r="A173" s="91" t="s">
        <v>51</v>
      </c>
      <c r="B173" s="92">
        <v>2025</v>
      </c>
      <c r="C173" s="93">
        <v>45962</v>
      </c>
      <c r="D173" s="91" t="s">
        <v>63</v>
      </c>
      <c r="E173" s="94">
        <v>321</v>
      </c>
    </row>
    <row r="174" spans="1:5" ht="15" customHeight="1" x14ac:dyDescent="0.25">
      <c r="A174" s="91" t="s">
        <v>51</v>
      </c>
      <c r="B174" s="92">
        <v>2025</v>
      </c>
      <c r="C174" s="93">
        <v>45962</v>
      </c>
      <c r="D174" s="91" t="s">
        <v>64</v>
      </c>
      <c r="E174" s="94">
        <v>806</v>
      </c>
    </row>
    <row r="175" spans="1:5" ht="15" customHeight="1" x14ac:dyDescent="0.25">
      <c r="A175" s="91" t="s">
        <v>51</v>
      </c>
      <c r="B175" s="92">
        <v>2025</v>
      </c>
      <c r="C175" s="93">
        <v>45962</v>
      </c>
      <c r="D175" s="91" t="s">
        <v>65</v>
      </c>
      <c r="E175" s="94">
        <v>179.9</v>
      </c>
    </row>
    <row r="176" spans="1:5" ht="15" customHeight="1" x14ac:dyDescent="0.25">
      <c r="A176" s="91" t="s">
        <v>51</v>
      </c>
      <c r="B176" s="92">
        <v>2025</v>
      </c>
      <c r="C176" s="93">
        <v>45962</v>
      </c>
      <c r="D176" s="91" t="s">
        <v>66</v>
      </c>
      <c r="E176" s="94">
        <v>16.07</v>
      </c>
    </row>
    <row r="177" spans="1:5" ht="15" customHeight="1" x14ac:dyDescent="0.25">
      <c r="A177" s="91" t="s">
        <v>51</v>
      </c>
      <c r="B177" s="92">
        <v>2025</v>
      </c>
      <c r="C177" s="93">
        <v>45962</v>
      </c>
      <c r="D177" s="91" t="s">
        <v>67</v>
      </c>
      <c r="E177" s="94">
        <v>395.85</v>
      </c>
    </row>
    <row r="178" spans="1:5" ht="15" customHeight="1" x14ac:dyDescent="0.25">
      <c r="A178" s="91" t="s">
        <v>51</v>
      </c>
      <c r="B178" s="92">
        <v>2025</v>
      </c>
      <c r="C178" s="93">
        <v>45962</v>
      </c>
      <c r="D178" s="91" t="s">
        <v>68</v>
      </c>
      <c r="E178" s="94">
        <v>889.34</v>
      </c>
    </row>
    <row r="179" spans="1:5" ht="15" customHeight="1" x14ac:dyDescent="0.25">
      <c r="A179" s="91" t="s">
        <v>51</v>
      </c>
      <c r="B179" s="92">
        <v>2025</v>
      </c>
      <c r="C179" s="93">
        <v>45962</v>
      </c>
      <c r="D179" s="91" t="s">
        <v>69</v>
      </c>
      <c r="E179" s="94">
        <v>3153.29</v>
      </c>
    </row>
    <row r="180" spans="1:5" ht="15" customHeight="1" x14ac:dyDescent="0.25">
      <c r="A180" s="91" t="s">
        <v>51</v>
      </c>
      <c r="B180" s="92">
        <v>2025</v>
      </c>
      <c r="C180" s="93">
        <v>45962</v>
      </c>
      <c r="D180" s="91" t="s">
        <v>180</v>
      </c>
      <c r="E180" s="94">
        <v>2230.54</v>
      </c>
    </row>
    <row r="181" spans="1:5" ht="15" customHeight="1" x14ac:dyDescent="0.25">
      <c r="A181" s="91" t="s">
        <v>51</v>
      </c>
      <c r="B181" s="92">
        <v>2025</v>
      </c>
      <c r="C181" s="93">
        <v>45962</v>
      </c>
      <c r="D181" s="91" t="s">
        <v>71</v>
      </c>
      <c r="E181" s="94">
        <v>23314</v>
      </c>
    </row>
    <row r="182" spans="1:5" ht="15" customHeight="1" x14ac:dyDescent="0.25">
      <c r="A182" s="91" t="s">
        <v>51</v>
      </c>
      <c r="B182" s="92">
        <v>2025</v>
      </c>
      <c r="C182" s="93">
        <v>45962</v>
      </c>
      <c r="D182" s="91" t="s">
        <v>73</v>
      </c>
      <c r="E182" s="94">
        <v>633.01</v>
      </c>
    </row>
    <row r="183" spans="1:5" ht="15" customHeight="1" x14ac:dyDescent="0.25">
      <c r="A183" s="91" t="s">
        <v>51</v>
      </c>
      <c r="B183" s="92">
        <v>2025</v>
      </c>
      <c r="C183" s="93">
        <v>45962</v>
      </c>
      <c r="D183" s="91" t="s">
        <v>74</v>
      </c>
      <c r="E183" s="94">
        <v>95</v>
      </c>
    </row>
    <row r="184" spans="1:5" ht="15" customHeight="1" x14ac:dyDescent="0.25">
      <c r="A184" s="91" t="s">
        <v>51</v>
      </c>
      <c r="B184" s="92">
        <v>2025</v>
      </c>
      <c r="C184" s="93">
        <v>45992</v>
      </c>
      <c r="D184" s="91" t="s">
        <v>60</v>
      </c>
      <c r="E184" s="94">
        <v>58.73</v>
      </c>
    </row>
    <row r="185" spans="1:5" ht="15" customHeight="1" x14ac:dyDescent="0.25">
      <c r="A185" s="91" t="s">
        <v>51</v>
      </c>
      <c r="B185" s="92">
        <v>2025</v>
      </c>
      <c r="C185" s="93">
        <v>45992</v>
      </c>
      <c r="D185" s="91" t="s">
        <v>61</v>
      </c>
      <c r="E185" s="94">
        <v>51518</v>
      </c>
    </row>
    <row r="186" spans="1:5" ht="15" customHeight="1" x14ac:dyDescent="0.25">
      <c r="A186" s="91" t="s">
        <v>51</v>
      </c>
      <c r="B186" s="92">
        <v>2025</v>
      </c>
      <c r="C186" s="93">
        <v>45992</v>
      </c>
      <c r="D186" s="91" t="s">
        <v>63</v>
      </c>
      <c r="E186" s="94">
        <v>223</v>
      </c>
    </row>
    <row r="187" spans="1:5" ht="15" customHeight="1" x14ac:dyDescent="0.25">
      <c r="A187" s="91" t="s">
        <v>51</v>
      </c>
      <c r="B187" s="92">
        <v>2025</v>
      </c>
      <c r="C187" s="93">
        <v>45992</v>
      </c>
      <c r="D187" s="91" t="s">
        <v>64</v>
      </c>
      <c r="E187" s="94">
        <v>806</v>
      </c>
    </row>
    <row r="188" spans="1:5" x14ac:dyDescent="0.25">
      <c r="A188" s="91" t="s">
        <v>51</v>
      </c>
      <c r="B188" s="92">
        <v>2025</v>
      </c>
      <c r="C188" s="93">
        <v>45992</v>
      </c>
      <c r="D188" s="91" t="s">
        <v>65</v>
      </c>
      <c r="E188" s="94">
        <v>179.9</v>
      </c>
    </row>
    <row r="189" spans="1:5" x14ac:dyDescent="0.25">
      <c r="A189" s="91" t="s">
        <v>51</v>
      </c>
      <c r="B189" s="92">
        <v>2025</v>
      </c>
      <c r="C189" s="93">
        <v>45992</v>
      </c>
      <c r="D189" s="91" t="s">
        <v>66</v>
      </c>
      <c r="E189" s="94">
        <v>30.12</v>
      </c>
    </row>
    <row r="190" spans="1:5" x14ac:dyDescent="0.25">
      <c r="A190" s="91" t="s">
        <v>51</v>
      </c>
      <c r="B190" s="92">
        <v>2025</v>
      </c>
      <c r="C190" s="93">
        <v>45992</v>
      </c>
      <c r="D190" s="91" t="s">
        <v>67</v>
      </c>
      <c r="E190" s="94">
        <v>393.63</v>
      </c>
    </row>
    <row r="191" spans="1:5" x14ac:dyDescent="0.25">
      <c r="A191" s="91" t="s">
        <v>51</v>
      </c>
      <c r="B191" s="92">
        <v>2025</v>
      </c>
      <c r="C191" s="93">
        <v>45992</v>
      </c>
      <c r="D191" s="91" t="s">
        <v>68</v>
      </c>
      <c r="E191" s="94">
        <v>11.31</v>
      </c>
    </row>
    <row r="192" spans="1:5" x14ac:dyDescent="0.25">
      <c r="A192" s="91" t="s">
        <v>51</v>
      </c>
      <c r="B192" s="92">
        <v>2025</v>
      </c>
      <c r="C192" s="93">
        <v>45992</v>
      </c>
      <c r="D192" s="91" t="s">
        <v>69</v>
      </c>
      <c r="E192" s="94">
        <v>2351.5300000000002</v>
      </c>
    </row>
    <row r="193" spans="1:5" x14ac:dyDescent="0.25">
      <c r="A193" s="91" t="s">
        <v>51</v>
      </c>
      <c r="B193" s="92">
        <v>2025</v>
      </c>
      <c r="C193" s="93">
        <v>45992</v>
      </c>
      <c r="D193" s="91" t="s">
        <v>78</v>
      </c>
      <c r="E193" s="94">
        <v>3</v>
      </c>
    </row>
    <row r="194" spans="1:5" x14ac:dyDescent="0.25">
      <c r="A194" s="91" t="s">
        <v>51</v>
      </c>
      <c r="B194" s="92">
        <v>2025</v>
      </c>
      <c r="C194" s="93">
        <v>45992</v>
      </c>
      <c r="D194" s="91" t="s">
        <v>180</v>
      </c>
      <c r="E194" s="94">
        <v>2227.54</v>
      </c>
    </row>
    <row r="195" spans="1:5" x14ac:dyDescent="0.25">
      <c r="A195" s="91" t="s">
        <v>51</v>
      </c>
      <c r="B195" s="92">
        <v>2025</v>
      </c>
      <c r="C195" s="93">
        <v>45992</v>
      </c>
      <c r="D195" s="91" t="s">
        <v>71</v>
      </c>
      <c r="E195" s="94">
        <v>10314</v>
      </c>
    </row>
    <row r="196" spans="1:5" x14ac:dyDescent="0.25">
      <c r="A196" s="91" t="s">
        <v>51</v>
      </c>
      <c r="B196" s="92">
        <v>2025</v>
      </c>
      <c r="C196" s="93">
        <v>45992</v>
      </c>
      <c r="D196" s="91" t="s">
        <v>73</v>
      </c>
      <c r="E196" s="94">
        <v>633.01</v>
      </c>
    </row>
    <row r="197" spans="1:5" x14ac:dyDescent="0.25">
      <c r="A197" s="91" t="s">
        <v>51</v>
      </c>
      <c r="B197" s="92">
        <v>2025</v>
      </c>
      <c r="C197" s="93">
        <v>45992</v>
      </c>
      <c r="D197" s="91" t="s">
        <v>74</v>
      </c>
      <c r="E197" s="94">
        <v>236.6</v>
      </c>
    </row>
    <row r="198" spans="1:5" x14ac:dyDescent="0.25">
      <c r="A198" s="91" t="s">
        <v>216</v>
      </c>
      <c r="B198" s="92">
        <v>2025</v>
      </c>
      <c r="C198" s="93">
        <v>45658</v>
      </c>
      <c r="D198" s="91" t="s">
        <v>217</v>
      </c>
      <c r="E198" s="99">
        <v>103.74</v>
      </c>
    </row>
    <row r="199" spans="1:5" ht="15" customHeight="1" x14ac:dyDescent="0.25">
      <c r="A199" s="91" t="s">
        <v>216</v>
      </c>
      <c r="B199" s="92">
        <v>2025</v>
      </c>
      <c r="C199" s="93">
        <v>45658</v>
      </c>
      <c r="D199" s="100" t="s">
        <v>218</v>
      </c>
      <c r="E199" s="98">
        <v>250</v>
      </c>
    </row>
    <row r="200" spans="1:5" ht="15" customHeight="1" x14ac:dyDescent="0.25">
      <c r="A200" s="91" t="s">
        <v>216</v>
      </c>
      <c r="B200" s="92">
        <v>2025</v>
      </c>
      <c r="C200" s="93">
        <v>45658</v>
      </c>
      <c r="D200" s="100" t="s">
        <v>58</v>
      </c>
      <c r="E200" s="98">
        <v>1644.83</v>
      </c>
    </row>
    <row r="201" spans="1:5" ht="15" customHeight="1" x14ac:dyDescent="0.25">
      <c r="A201" s="91" t="s">
        <v>216</v>
      </c>
      <c r="B201" s="92">
        <v>2025</v>
      </c>
      <c r="C201" s="93">
        <v>45658</v>
      </c>
      <c r="D201" s="100" t="s">
        <v>59</v>
      </c>
      <c r="E201" s="98">
        <v>25.24</v>
      </c>
    </row>
    <row r="202" spans="1:5" ht="15" customHeight="1" x14ac:dyDescent="0.25">
      <c r="A202" s="91" t="s">
        <v>216</v>
      </c>
      <c r="B202" s="92">
        <v>2025</v>
      </c>
      <c r="C202" s="93">
        <v>45658</v>
      </c>
      <c r="D202" s="100" t="s">
        <v>182</v>
      </c>
      <c r="E202" s="98">
        <v>623.41999999999996</v>
      </c>
    </row>
    <row r="203" spans="1:5" ht="15" customHeight="1" x14ac:dyDescent="0.25">
      <c r="A203" s="91" t="s">
        <v>216</v>
      </c>
      <c r="B203" s="92">
        <v>2025</v>
      </c>
      <c r="C203" s="93">
        <v>45658</v>
      </c>
      <c r="D203" s="100" t="s">
        <v>219</v>
      </c>
      <c r="E203" s="98">
        <v>364</v>
      </c>
    </row>
    <row r="204" spans="1:5" ht="15" customHeight="1" x14ac:dyDescent="0.25">
      <c r="A204" s="91" t="s">
        <v>216</v>
      </c>
      <c r="B204" s="92">
        <v>2025</v>
      </c>
      <c r="C204" s="93">
        <v>45658</v>
      </c>
      <c r="D204" s="100" t="s">
        <v>62</v>
      </c>
      <c r="E204" s="98">
        <v>1510</v>
      </c>
    </row>
    <row r="205" spans="1:5" ht="15" customHeight="1" x14ac:dyDescent="0.25">
      <c r="A205" s="91" t="s">
        <v>216</v>
      </c>
      <c r="B205" s="92">
        <v>2025</v>
      </c>
      <c r="C205" s="93">
        <v>45658</v>
      </c>
      <c r="D205" s="100" t="s">
        <v>63</v>
      </c>
      <c r="E205" s="98">
        <v>821.95</v>
      </c>
    </row>
    <row r="206" spans="1:5" ht="15" customHeight="1" x14ac:dyDescent="0.25">
      <c r="A206" s="91" t="s">
        <v>216</v>
      </c>
      <c r="B206" s="92">
        <v>2025</v>
      </c>
      <c r="C206" s="93">
        <v>45658</v>
      </c>
      <c r="D206" s="100" t="s">
        <v>64</v>
      </c>
      <c r="E206" s="98">
        <v>863.64</v>
      </c>
    </row>
    <row r="207" spans="1:5" ht="15" customHeight="1" x14ac:dyDescent="0.25">
      <c r="A207" s="91" t="s">
        <v>216</v>
      </c>
      <c r="B207" s="92">
        <v>2025</v>
      </c>
      <c r="C207" s="93">
        <v>45658</v>
      </c>
      <c r="D207" s="100" t="s">
        <v>65</v>
      </c>
      <c r="E207" s="98">
        <v>183.78</v>
      </c>
    </row>
    <row r="208" spans="1:5" ht="15" customHeight="1" x14ac:dyDescent="0.25">
      <c r="A208" s="91" t="s">
        <v>216</v>
      </c>
      <c r="B208" s="92">
        <v>2025</v>
      </c>
      <c r="C208" s="93">
        <v>45658</v>
      </c>
      <c r="D208" s="100" t="s">
        <v>66</v>
      </c>
      <c r="E208" s="98">
        <v>36231.67</v>
      </c>
    </row>
    <row r="209" spans="1:5" ht="15" customHeight="1" x14ac:dyDescent="0.25">
      <c r="A209" s="91" t="s">
        <v>216</v>
      </c>
      <c r="B209" s="92">
        <v>2025</v>
      </c>
      <c r="C209" s="93">
        <v>45658</v>
      </c>
      <c r="D209" s="100" t="s">
        <v>67</v>
      </c>
      <c r="E209" s="98">
        <v>24.55</v>
      </c>
    </row>
    <row r="210" spans="1:5" ht="15" customHeight="1" x14ac:dyDescent="0.25">
      <c r="A210" s="91" t="s">
        <v>216</v>
      </c>
      <c r="B210" s="92">
        <v>2025</v>
      </c>
      <c r="C210" s="93">
        <v>45658</v>
      </c>
      <c r="D210" s="100" t="s">
        <v>68</v>
      </c>
      <c r="E210" s="98">
        <v>6049.01</v>
      </c>
    </row>
    <row r="211" spans="1:5" ht="15" customHeight="1" x14ac:dyDescent="0.25">
      <c r="A211" s="91" t="s">
        <v>216</v>
      </c>
      <c r="B211" s="92">
        <v>2025</v>
      </c>
      <c r="C211" s="93">
        <v>45658</v>
      </c>
      <c r="D211" s="100" t="s">
        <v>69</v>
      </c>
      <c r="E211" s="98">
        <v>16900.61</v>
      </c>
    </row>
    <row r="212" spans="1:5" ht="15" customHeight="1" x14ac:dyDescent="0.25">
      <c r="A212" s="91" t="s">
        <v>216</v>
      </c>
      <c r="B212" s="92">
        <v>2025</v>
      </c>
      <c r="C212" s="93">
        <v>45658</v>
      </c>
      <c r="D212" s="100" t="s">
        <v>70</v>
      </c>
      <c r="E212" s="98">
        <v>385.29</v>
      </c>
    </row>
    <row r="213" spans="1:5" ht="15" customHeight="1" x14ac:dyDescent="0.25">
      <c r="A213" s="91" t="s">
        <v>216</v>
      </c>
      <c r="B213" s="92">
        <v>2025</v>
      </c>
      <c r="C213" s="93">
        <v>45658</v>
      </c>
      <c r="D213" s="100" t="s">
        <v>220</v>
      </c>
      <c r="E213" s="98">
        <v>2870.05</v>
      </c>
    </row>
    <row r="214" spans="1:5" ht="15" customHeight="1" x14ac:dyDescent="0.25">
      <c r="A214" s="91" t="s">
        <v>216</v>
      </c>
      <c r="B214" s="92">
        <v>2025</v>
      </c>
      <c r="C214" s="93">
        <v>45658</v>
      </c>
      <c r="D214" s="100" t="s">
        <v>221</v>
      </c>
      <c r="E214" s="98">
        <v>14511.14</v>
      </c>
    </row>
    <row r="215" spans="1:5" ht="15" customHeight="1" x14ac:dyDescent="0.25">
      <c r="A215" s="91" t="s">
        <v>216</v>
      </c>
      <c r="B215" s="92">
        <v>2025</v>
      </c>
      <c r="C215" s="93">
        <v>45658</v>
      </c>
      <c r="D215" s="100" t="s">
        <v>222</v>
      </c>
      <c r="E215" s="98">
        <v>180</v>
      </c>
    </row>
    <row r="216" spans="1:5" ht="15" customHeight="1" x14ac:dyDescent="0.25">
      <c r="A216" s="91" t="s">
        <v>216</v>
      </c>
      <c r="B216" s="92">
        <v>2025</v>
      </c>
      <c r="C216" s="93">
        <v>45658</v>
      </c>
      <c r="D216" s="100" t="s">
        <v>71</v>
      </c>
      <c r="E216" s="98">
        <v>2314</v>
      </c>
    </row>
    <row r="217" spans="1:5" ht="15" customHeight="1" x14ac:dyDescent="0.25">
      <c r="A217" s="91" t="s">
        <v>216</v>
      </c>
      <c r="B217" s="92">
        <v>2025</v>
      </c>
      <c r="C217" s="93">
        <v>45658</v>
      </c>
      <c r="D217" s="100" t="s">
        <v>77</v>
      </c>
      <c r="E217" s="98">
        <v>5625</v>
      </c>
    </row>
    <row r="218" spans="1:5" ht="15" customHeight="1" x14ac:dyDescent="0.25">
      <c r="A218" s="91" t="s">
        <v>216</v>
      </c>
      <c r="B218" s="92">
        <v>2025</v>
      </c>
      <c r="C218" s="93">
        <v>45658</v>
      </c>
      <c r="D218" s="100" t="s">
        <v>72</v>
      </c>
      <c r="E218" s="98">
        <v>1294.71</v>
      </c>
    </row>
    <row r="219" spans="1:5" ht="15" customHeight="1" x14ac:dyDescent="0.25">
      <c r="A219" s="91" t="s">
        <v>216</v>
      </c>
      <c r="B219" s="92">
        <v>2025</v>
      </c>
      <c r="C219" s="93">
        <v>45658</v>
      </c>
      <c r="D219" s="100" t="s">
        <v>223</v>
      </c>
      <c r="E219" s="98">
        <v>1792.22</v>
      </c>
    </row>
    <row r="220" spans="1:5" ht="15" customHeight="1" x14ac:dyDescent="0.25">
      <c r="A220" s="91" t="s">
        <v>216</v>
      </c>
      <c r="B220" s="92">
        <v>2025</v>
      </c>
      <c r="C220" s="93">
        <v>45658</v>
      </c>
      <c r="D220" s="100" t="s">
        <v>73</v>
      </c>
      <c r="E220" s="98">
        <v>588.79999999999995</v>
      </c>
    </row>
    <row r="221" spans="1:5" ht="15" customHeight="1" x14ac:dyDescent="0.25">
      <c r="A221" s="91" t="s">
        <v>216</v>
      </c>
      <c r="B221" s="92">
        <v>2025</v>
      </c>
      <c r="C221" s="93">
        <v>45658</v>
      </c>
      <c r="D221" s="100" t="s">
        <v>74</v>
      </c>
      <c r="E221" s="98">
        <v>345.6</v>
      </c>
    </row>
    <row r="222" spans="1:5" ht="15" customHeight="1" x14ac:dyDescent="0.25">
      <c r="A222" s="91" t="s">
        <v>216</v>
      </c>
      <c r="B222" s="92">
        <v>2025</v>
      </c>
      <c r="C222" s="93">
        <v>45658</v>
      </c>
      <c r="D222" s="100" t="s">
        <v>224</v>
      </c>
      <c r="E222" s="98">
        <v>650</v>
      </c>
    </row>
    <row r="223" spans="1:5" ht="15" customHeight="1" x14ac:dyDescent="0.25">
      <c r="A223" s="91" t="s">
        <v>216</v>
      </c>
      <c r="B223" s="92">
        <v>2025</v>
      </c>
      <c r="C223" s="93">
        <v>45658</v>
      </c>
      <c r="D223" s="100" t="s">
        <v>225</v>
      </c>
      <c r="E223" s="98">
        <v>36600</v>
      </c>
    </row>
    <row r="224" spans="1:5" ht="15" customHeight="1" x14ac:dyDescent="0.25">
      <c r="A224" s="91" t="s">
        <v>216</v>
      </c>
      <c r="B224" s="92">
        <v>2025</v>
      </c>
      <c r="C224" s="93">
        <v>45658</v>
      </c>
      <c r="D224" s="100" t="s">
        <v>226</v>
      </c>
      <c r="E224" s="98">
        <v>134.94</v>
      </c>
    </row>
    <row r="225" spans="1:5" ht="15" customHeight="1" x14ac:dyDescent="0.25">
      <c r="A225" s="91" t="s">
        <v>216</v>
      </c>
      <c r="B225" s="92">
        <v>2025</v>
      </c>
      <c r="C225" s="93">
        <v>45689</v>
      </c>
      <c r="D225" s="100" t="s">
        <v>217</v>
      </c>
      <c r="E225" s="98">
        <v>102.75</v>
      </c>
    </row>
    <row r="226" spans="1:5" ht="15" customHeight="1" x14ac:dyDescent="0.25">
      <c r="A226" s="91" t="s">
        <v>216</v>
      </c>
      <c r="B226" s="92">
        <v>2025</v>
      </c>
      <c r="C226" s="93">
        <v>45689</v>
      </c>
      <c r="D226" s="100" t="s">
        <v>75</v>
      </c>
      <c r="E226" s="98">
        <v>180</v>
      </c>
    </row>
    <row r="227" spans="1:5" ht="15" customHeight="1" x14ac:dyDescent="0.25">
      <c r="A227" s="91" t="s">
        <v>216</v>
      </c>
      <c r="B227" s="92">
        <v>2025</v>
      </c>
      <c r="C227" s="93">
        <v>45689</v>
      </c>
      <c r="D227" s="100" t="s">
        <v>231</v>
      </c>
      <c r="E227" s="98">
        <v>750.5</v>
      </c>
    </row>
    <row r="228" spans="1:5" ht="15" customHeight="1" x14ac:dyDescent="0.25">
      <c r="A228" s="91" t="s">
        <v>216</v>
      </c>
      <c r="B228" s="92">
        <v>2025</v>
      </c>
      <c r="C228" s="93">
        <v>45689</v>
      </c>
      <c r="D228" s="100" t="s">
        <v>61</v>
      </c>
      <c r="E228" s="98">
        <v>3036</v>
      </c>
    </row>
    <row r="229" spans="1:5" ht="15" customHeight="1" x14ac:dyDescent="0.25">
      <c r="A229" s="91" t="s">
        <v>216</v>
      </c>
      <c r="B229" s="92">
        <v>2025</v>
      </c>
      <c r="C229" s="93">
        <v>45689</v>
      </c>
      <c r="D229" s="100" t="s">
        <v>219</v>
      </c>
      <c r="E229" s="98">
        <v>1441.38</v>
      </c>
    </row>
    <row r="230" spans="1:5" ht="15" customHeight="1" x14ac:dyDescent="0.25">
      <c r="A230" s="91" t="s">
        <v>216</v>
      </c>
      <c r="B230" s="92">
        <v>2025</v>
      </c>
      <c r="C230" s="93">
        <v>45689</v>
      </c>
      <c r="D230" s="100" t="s">
        <v>62</v>
      </c>
      <c r="E230" s="98">
        <v>3484</v>
      </c>
    </row>
    <row r="231" spans="1:5" ht="15" customHeight="1" x14ac:dyDescent="0.25">
      <c r="A231" s="91" t="s">
        <v>216</v>
      </c>
      <c r="B231" s="92">
        <v>2025</v>
      </c>
      <c r="C231" s="93">
        <v>45689</v>
      </c>
      <c r="D231" s="100" t="s">
        <v>63</v>
      </c>
      <c r="E231" s="98">
        <v>821.95</v>
      </c>
    </row>
    <row r="232" spans="1:5" ht="15" customHeight="1" x14ac:dyDescent="0.25">
      <c r="A232" s="91" t="s">
        <v>216</v>
      </c>
      <c r="B232" s="92">
        <v>2025</v>
      </c>
      <c r="C232" s="93">
        <v>45689</v>
      </c>
      <c r="D232" s="100" t="s">
        <v>64</v>
      </c>
      <c r="E232" s="98">
        <v>806</v>
      </c>
    </row>
    <row r="233" spans="1:5" ht="15" customHeight="1" x14ac:dyDescent="0.25">
      <c r="A233" s="91" t="s">
        <v>216</v>
      </c>
      <c r="B233" s="92">
        <v>2025</v>
      </c>
      <c r="C233" s="93">
        <v>45689</v>
      </c>
      <c r="D233" s="100" t="s">
        <v>65</v>
      </c>
      <c r="E233" s="98">
        <v>181.04</v>
      </c>
    </row>
    <row r="234" spans="1:5" ht="15" customHeight="1" x14ac:dyDescent="0.25">
      <c r="A234" s="91" t="s">
        <v>216</v>
      </c>
      <c r="B234" s="92">
        <v>2025</v>
      </c>
      <c r="C234" s="93">
        <v>45689</v>
      </c>
      <c r="D234" s="100" t="s">
        <v>66</v>
      </c>
      <c r="E234" s="98">
        <v>841.71</v>
      </c>
    </row>
    <row r="235" spans="1:5" ht="15" customHeight="1" x14ac:dyDescent="0.25">
      <c r="A235" s="91" t="s">
        <v>216</v>
      </c>
      <c r="B235" s="92">
        <v>2025</v>
      </c>
      <c r="C235" s="93">
        <v>45689</v>
      </c>
      <c r="D235" s="100" t="s">
        <v>68</v>
      </c>
      <c r="E235" s="98">
        <v>1608.91</v>
      </c>
    </row>
    <row r="236" spans="1:5" ht="15" customHeight="1" x14ac:dyDescent="0.25">
      <c r="A236" s="91" t="s">
        <v>216</v>
      </c>
      <c r="B236" s="92">
        <v>2025</v>
      </c>
      <c r="C236" s="93">
        <v>45689</v>
      </c>
      <c r="D236" s="100" t="s">
        <v>69</v>
      </c>
      <c r="E236" s="98">
        <v>51871.14</v>
      </c>
    </row>
    <row r="237" spans="1:5" ht="15" customHeight="1" x14ac:dyDescent="0.25">
      <c r="A237" s="91" t="s">
        <v>216</v>
      </c>
      <c r="B237" s="92">
        <v>2025</v>
      </c>
      <c r="C237" s="93">
        <v>45689</v>
      </c>
      <c r="D237" s="100" t="s">
        <v>78</v>
      </c>
      <c r="E237" s="98">
        <v>130.84</v>
      </c>
    </row>
    <row r="238" spans="1:5" ht="15" customHeight="1" x14ac:dyDescent="0.25">
      <c r="A238" s="91" t="s">
        <v>216</v>
      </c>
      <c r="B238" s="92">
        <v>2025</v>
      </c>
      <c r="C238" s="93">
        <v>45689</v>
      </c>
      <c r="D238" s="100" t="s">
        <v>232</v>
      </c>
      <c r="E238" s="98">
        <v>2336</v>
      </c>
    </row>
    <row r="239" spans="1:5" ht="15" customHeight="1" x14ac:dyDescent="0.25">
      <c r="A239" s="91" t="s">
        <v>216</v>
      </c>
      <c r="B239" s="92">
        <v>2025</v>
      </c>
      <c r="C239" s="93">
        <v>45689</v>
      </c>
      <c r="D239" s="100" t="s">
        <v>220</v>
      </c>
      <c r="E239" s="98">
        <v>2885.8</v>
      </c>
    </row>
    <row r="240" spans="1:5" ht="15" customHeight="1" x14ac:dyDescent="0.25">
      <c r="A240" s="91" t="s">
        <v>216</v>
      </c>
      <c r="B240" s="92">
        <v>2025</v>
      </c>
      <c r="C240" s="93">
        <v>45689</v>
      </c>
      <c r="D240" s="100" t="s">
        <v>71</v>
      </c>
      <c r="E240" s="98">
        <v>12314</v>
      </c>
    </row>
    <row r="241" spans="1:5" ht="15" customHeight="1" x14ac:dyDescent="0.25">
      <c r="A241" s="91" t="s">
        <v>216</v>
      </c>
      <c r="B241" s="92">
        <v>2025</v>
      </c>
      <c r="C241" s="93">
        <v>45689</v>
      </c>
      <c r="D241" s="100" t="s">
        <v>77</v>
      </c>
      <c r="E241" s="98">
        <v>3450</v>
      </c>
    </row>
    <row r="242" spans="1:5" ht="15" customHeight="1" x14ac:dyDescent="0.25">
      <c r="A242" s="91" t="s">
        <v>216</v>
      </c>
      <c r="B242" s="92">
        <v>2025</v>
      </c>
      <c r="C242" s="93">
        <v>45689</v>
      </c>
      <c r="D242" s="100" t="s">
        <v>72</v>
      </c>
      <c r="E242" s="98">
        <v>186.68</v>
      </c>
    </row>
    <row r="243" spans="1:5" ht="15" customHeight="1" x14ac:dyDescent="0.25">
      <c r="A243" s="91" t="s">
        <v>216</v>
      </c>
      <c r="B243" s="92">
        <v>2025</v>
      </c>
      <c r="C243" s="93">
        <v>45689</v>
      </c>
      <c r="D243" s="100" t="s">
        <v>223</v>
      </c>
      <c r="E243" s="98">
        <v>2147.6</v>
      </c>
    </row>
    <row r="244" spans="1:5" ht="15" customHeight="1" x14ac:dyDescent="0.25">
      <c r="A244" s="91" t="s">
        <v>216</v>
      </c>
      <c r="B244" s="92">
        <v>2025</v>
      </c>
      <c r="C244" s="93">
        <v>45689</v>
      </c>
      <c r="D244" s="100" t="s">
        <v>73</v>
      </c>
      <c r="E244" s="98">
        <v>633.01</v>
      </c>
    </row>
    <row r="245" spans="1:5" ht="15" customHeight="1" x14ac:dyDescent="0.25">
      <c r="A245" s="91" t="s">
        <v>216</v>
      </c>
      <c r="B245" s="92">
        <v>2025</v>
      </c>
      <c r="C245" s="93">
        <v>45689</v>
      </c>
      <c r="D245" s="100" t="s">
        <v>74</v>
      </c>
      <c r="E245" s="98">
        <v>517.6</v>
      </c>
    </row>
    <row r="246" spans="1:5" ht="15" customHeight="1" x14ac:dyDescent="0.25">
      <c r="A246" s="91" t="s">
        <v>216</v>
      </c>
      <c r="B246" s="92">
        <v>2025</v>
      </c>
      <c r="C246" s="93">
        <v>45689</v>
      </c>
      <c r="D246" s="100" t="s">
        <v>226</v>
      </c>
      <c r="E246" s="98">
        <v>134.94</v>
      </c>
    </row>
    <row r="247" spans="1:5" ht="15" customHeight="1" x14ac:dyDescent="0.25">
      <c r="A247" s="91" t="s">
        <v>216</v>
      </c>
      <c r="B247" s="92">
        <v>2025</v>
      </c>
      <c r="C247" s="93">
        <v>45717</v>
      </c>
      <c r="D247" s="100" t="s">
        <v>217</v>
      </c>
      <c r="E247" s="98">
        <v>102.75</v>
      </c>
    </row>
    <row r="248" spans="1:5" ht="15" customHeight="1" x14ac:dyDescent="0.25">
      <c r="A248" s="91" t="s">
        <v>216</v>
      </c>
      <c r="B248" s="92">
        <v>2025</v>
      </c>
      <c r="C248" s="93">
        <v>45717</v>
      </c>
      <c r="D248" s="100" t="s">
        <v>233</v>
      </c>
      <c r="E248" s="98">
        <v>1518.94</v>
      </c>
    </row>
    <row r="249" spans="1:5" ht="15" customHeight="1" x14ac:dyDescent="0.25">
      <c r="A249" s="91" t="s">
        <v>216</v>
      </c>
      <c r="B249" s="92">
        <v>2025</v>
      </c>
      <c r="C249" s="93">
        <v>45717</v>
      </c>
      <c r="D249" s="100" t="s">
        <v>57</v>
      </c>
      <c r="E249" s="98">
        <v>4039.2</v>
      </c>
    </row>
    <row r="250" spans="1:5" ht="15" customHeight="1" x14ac:dyDescent="0.25">
      <c r="A250" s="91" t="s">
        <v>216</v>
      </c>
      <c r="B250" s="92">
        <v>2025</v>
      </c>
      <c r="C250" s="93">
        <v>45717</v>
      </c>
      <c r="D250" s="100" t="s">
        <v>193</v>
      </c>
      <c r="E250" s="98">
        <v>20808.16</v>
      </c>
    </row>
    <row r="251" spans="1:5" ht="15" customHeight="1" x14ac:dyDescent="0.25">
      <c r="A251" s="91" t="s">
        <v>216</v>
      </c>
      <c r="B251" s="92">
        <v>2025</v>
      </c>
      <c r="C251" s="93">
        <v>45717</v>
      </c>
      <c r="D251" s="100" t="s">
        <v>61</v>
      </c>
      <c r="E251" s="98">
        <v>1518</v>
      </c>
    </row>
    <row r="252" spans="1:5" ht="15" customHeight="1" x14ac:dyDescent="0.25">
      <c r="A252" s="91" t="s">
        <v>216</v>
      </c>
      <c r="B252" s="92">
        <v>2025</v>
      </c>
      <c r="C252" s="93">
        <v>45717</v>
      </c>
      <c r="D252" s="100" t="s">
        <v>219</v>
      </c>
      <c r="E252" s="98">
        <v>1465.31</v>
      </c>
    </row>
    <row r="253" spans="1:5" ht="15" customHeight="1" x14ac:dyDescent="0.25">
      <c r="A253" s="91" t="s">
        <v>216</v>
      </c>
      <c r="B253" s="92">
        <v>2025</v>
      </c>
      <c r="C253" s="93">
        <v>45717</v>
      </c>
      <c r="D253" s="100" t="s">
        <v>62</v>
      </c>
      <c r="E253" s="98">
        <v>25412.33</v>
      </c>
    </row>
    <row r="254" spans="1:5" ht="15" customHeight="1" x14ac:dyDescent="0.25">
      <c r="A254" s="91" t="s">
        <v>216</v>
      </c>
      <c r="B254" s="92">
        <v>2025</v>
      </c>
      <c r="C254" s="93">
        <v>45717</v>
      </c>
      <c r="D254" s="100" t="s">
        <v>63</v>
      </c>
      <c r="E254" s="98">
        <v>821.95</v>
      </c>
    </row>
    <row r="255" spans="1:5" ht="15" customHeight="1" x14ac:dyDescent="0.25">
      <c r="A255" s="91" t="s">
        <v>216</v>
      </c>
      <c r="B255" s="92">
        <v>2025</v>
      </c>
      <c r="C255" s="93">
        <v>45717</v>
      </c>
      <c r="D255" s="100" t="s">
        <v>64</v>
      </c>
      <c r="E255" s="98">
        <v>64.7</v>
      </c>
    </row>
    <row r="256" spans="1:5" ht="15" customHeight="1" x14ac:dyDescent="0.25">
      <c r="A256" s="91" t="s">
        <v>216</v>
      </c>
      <c r="B256" s="92">
        <v>2025</v>
      </c>
      <c r="C256" s="93">
        <v>45717</v>
      </c>
      <c r="D256" s="100" t="s">
        <v>66</v>
      </c>
      <c r="E256" s="98">
        <v>950.37</v>
      </c>
    </row>
    <row r="257" spans="1:5" ht="15" customHeight="1" x14ac:dyDescent="0.25">
      <c r="A257" s="91" t="s">
        <v>216</v>
      </c>
      <c r="B257" s="92">
        <v>2025</v>
      </c>
      <c r="C257" s="93">
        <v>45717</v>
      </c>
      <c r="D257" s="100" t="s">
        <v>68</v>
      </c>
      <c r="E257" s="98">
        <v>1542.67</v>
      </c>
    </row>
    <row r="258" spans="1:5" ht="15" customHeight="1" x14ac:dyDescent="0.25">
      <c r="A258" s="91" t="s">
        <v>216</v>
      </c>
      <c r="B258" s="92">
        <v>2025</v>
      </c>
      <c r="C258" s="93">
        <v>45717</v>
      </c>
      <c r="D258" s="100" t="s">
        <v>69</v>
      </c>
      <c r="E258" s="98">
        <v>45644.04</v>
      </c>
    </row>
    <row r="259" spans="1:5" ht="15" customHeight="1" x14ac:dyDescent="0.25">
      <c r="A259" s="91" t="s">
        <v>216</v>
      </c>
      <c r="B259" s="92">
        <v>2025</v>
      </c>
      <c r="C259" s="93">
        <v>45717</v>
      </c>
      <c r="D259" s="100" t="s">
        <v>232</v>
      </c>
      <c r="E259" s="98">
        <v>800</v>
      </c>
    </row>
    <row r="260" spans="1:5" ht="15" customHeight="1" x14ac:dyDescent="0.25">
      <c r="A260" s="91" t="s">
        <v>216</v>
      </c>
      <c r="B260" s="92">
        <v>2025</v>
      </c>
      <c r="C260" s="93">
        <v>45717</v>
      </c>
      <c r="D260" s="100" t="s">
        <v>70</v>
      </c>
      <c r="E260" s="98">
        <v>49.03</v>
      </c>
    </row>
    <row r="261" spans="1:5" ht="15" customHeight="1" x14ac:dyDescent="0.25">
      <c r="A261" s="91" t="s">
        <v>216</v>
      </c>
      <c r="B261" s="92">
        <v>2025</v>
      </c>
      <c r="C261" s="93">
        <v>45717</v>
      </c>
      <c r="D261" s="100" t="s">
        <v>220</v>
      </c>
      <c r="E261" s="98">
        <v>2901.23</v>
      </c>
    </row>
    <row r="262" spans="1:5" ht="15" customHeight="1" x14ac:dyDescent="0.25">
      <c r="A262" s="91" t="s">
        <v>216</v>
      </c>
      <c r="B262" s="92">
        <v>2025</v>
      </c>
      <c r="C262" s="93">
        <v>45717</v>
      </c>
      <c r="D262" s="100" t="s">
        <v>71</v>
      </c>
      <c r="E262" s="98">
        <v>30369.75</v>
      </c>
    </row>
    <row r="263" spans="1:5" ht="15" customHeight="1" x14ac:dyDescent="0.25">
      <c r="A263" s="91" t="s">
        <v>216</v>
      </c>
      <c r="B263" s="92">
        <v>2025</v>
      </c>
      <c r="C263" s="93">
        <v>45717</v>
      </c>
      <c r="D263" s="100" t="s">
        <v>77</v>
      </c>
      <c r="E263" s="98">
        <v>1200</v>
      </c>
    </row>
    <row r="264" spans="1:5" ht="15" customHeight="1" x14ac:dyDescent="0.25">
      <c r="A264" s="91" t="s">
        <v>216</v>
      </c>
      <c r="B264" s="92">
        <v>2025</v>
      </c>
      <c r="C264" s="93">
        <v>45717</v>
      </c>
      <c r="D264" s="100" t="s">
        <v>223</v>
      </c>
      <c r="E264" s="98">
        <v>2147.6</v>
      </c>
    </row>
    <row r="265" spans="1:5" ht="15" customHeight="1" x14ac:dyDescent="0.25">
      <c r="A265" s="91" t="s">
        <v>216</v>
      </c>
      <c r="B265" s="92">
        <v>2025</v>
      </c>
      <c r="C265" s="93">
        <v>45717</v>
      </c>
      <c r="D265" s="100" t="s">
        <v>73</v>
      </c>
      <c r="E265" s="98">
        <v>633.01</v>
      </c>
    </row>
    <row r="266" spans="1:5" ht="15" customHeight="1" x14ac:dyDescent="0.25">
      <c r="A266" s="91" t="s">
        <v>216</v>
      </c>
      <c r="B266" s="92">
        <v>2025</v>
      </c>
      <c r="C266" s="93">
        <v>45717</v>
      </c>
      <c r="D266" s="100" t="s">
        <v>74</v>
      </c>
      <c r="E266" s="98">
        <v>469.6</v>
      </c>
    </row>
    <row r="267" spans="1:5" ht="15" customHeight="1" x14ac:dyDescent="0.25">
      <c r="A267" s="91" t="s">
        <v>216</v>
      </c>
      <c r="B267" s="92">
        <v>2025</v>
      </c>
      <c r="C267" s="93">
        <v>45717</v>
      </c>
      <c r="D267" s="100" t="s">
        <v>226</v>
      </c>
      <c r="E267" s="98">
        <v>314.92</v>
      </c>
    </row>
    <row r="268" spans="1:5" ht="15" customHeight="1" x14ac:dyDescent="0.25">
      <c r="A268" s="91" t="s">
        <v>216</v>
      </c>
      <c r="B268" s="92">
        <v>2025</v>
      </c>
      <c r="C268" s="93">
        <v>45748</v>
      </c>
      <c r="D268" s="100" t="s">
        <v>217</v>
      </c>
      <c r="E268" s="98">
        <v>102.75</v>
      </c>
    </row>
    <row r="269" spans="1:5" ht="15" customHeight="1" x14ac:dyDescent="0.25">
      <c r="A269" s="91" t="s">
        <v>216</v>
      </c>
      <c r="B269" s="92">
        <v>2025</v>
      </c>
      <c r="C269" s="93">
        <v>45748</v>
      </c>
      <c r="D269" s="100" t="s">
        <v>251</v>
      </c>
      <c r="E269" s="98">
        <v>411.53</v>
      </c>
    </row>
    <row r="270" spans="1:5" ht="15" customHeight="1" x14ac:dyDescent="0.25">
      <c r="A270" s="91" t="s">
        <v>216</v>
      </c>
      <c r="B270" s="92">
        <v>2025</v>
      </c>
      <c r="C270" s="93">
        <v>45748</v>
      </c>
      <c r="D270" s="100" t="s">
        <v>57</v>
      </c>
      <c r="E270" s="98">
        <v>162.82</v>
      </c>
    </row>
    <row r="271" spans="1:5" ht="15" customHeight="1" x14ac:dyDescent="0.25">
      <c r="A271" s="91" t="s">
        <v>216</v>
      </c>
      <c r="B271" s="92">
        <v>2025</v>
      </c>
      <c r="C271" s="93">
        <v>45748</v>
      </c>
      <c r="D271" s="100" t="s">
        <v>219</v>
      </c>
      <c r="E271" s="98">
        <v>1465.31</v>
      </c>
    </row>
    <row r="272" spans="1:5" ht="15" customHeight="1" x14ac:dyDescent="0.25">
      <c r="A272" s="91" t="s">
        <v>216</v>
      </c>
      <c r="B272" s="92">
        <v>2025</v>
      </c>
      <c r="C272" s="93">
        <v>45748</v>
      </c>
      <c r="D272" s="100" t="s">
        <v>63</v>
      </c>
      <c r="E272" s="98">
        <v>821.95</v>
      </c>
    </row>
    <row r="273" spans="1:5" ht="15" customHeight="1" x14ac:dyDescent="0.25">
      <c r="A273" s="91" t="s">
        <v>216</v>
      </c>
      <c r="B273" s="92">
        <v>2025</v>
      </c>
      <c r="C273" s="93">
        <v>45748</v>
      </c>
      <c r="D273" s="100" t="s">
        <v>64</v>
      </c>
      <c r="E273" s="98">
        <v>812</v>
      </c>
    </row>
    <row r="274" spans="1:5" ht="15" customHeight="1" x14ac:dyDescent="0.25">
      <c r="A274" s="91" t="s">
        <v>216</v>
      </c>
      <c r="B274" s="92">
        <v>2025</v>
      </c>
      <c r="C274" s="93">
        <v>45748</v>
      </c>
      <c r="D274" s="100" t="s">
        <v>65</v>
      </c>
      <c r="E274" s="98">
        <v>179.98</v>
      </c>
    </row>
    <row r="275" spans="1:5" ht="15" customHeight="1" x14ac:dyDescent="0.25">
      <c r="A275" s="91" t="s">
        <v>216</v>
      </c>
      <c r="B275" s="92">
        <v>2025</v>
      </c>
      <c r="C275" s="93">
        <v>45748</v>
      </c>
      <c r="D275" s="100" t="s">
        <v>69</v>
      </c>
      <c r="E275" s="98">
        <v>47961.58</v>
      </c>
    </row>
    <row r="276" spans="1:5" ht="15" customHeight="1" x14ac:dyDescent="0.25">
      <c r="A276" s="91" t="s">
        <v>216</v>
      </c>
      <c r="B276" s="92">
        <v>2025</v>
      </c>
      <c r="C276" s="93">
        <v>45748</v>
      </c>
      <c r="D276" s="100" t="s">
        <v>78</v>
      </c>
      <c r="E276" s="98">
        <v>14.97</v>
      </c>
    </row>
    <row r="277" spans="1:5" ht="15" customHeight="1" x14ac:dyDescent="0.25">
      <c r="A277" s="91" t="s">
        <v>216</v>
      </c>
      <c r="B277" s="92">
        <v>2025</v>
      </c>
      <c r="C277" s="93">
        <v>45748</v>
      </c>
      <c r="D277" s="100" t="s">
        <v>71</v>
      </c>
      <c r="E277" s="98">
        <v>30000</v>
      </c>
    </row>
    <row r="278" spans="1:5" ht="15" customHeight="1" x14ac:dyDescent="0.25">
      <c r="A278" s="91" t="s">
        <v>216</v>
      </c>
      <c r="B278" s="92">
        <v>2025</v>
      </c>
      <c r="C278" s="93">
        <v>45748</v>
      </c>
      <c r="D278" s="100" t="s">
        <v>77</v>
      </c>
      <c r="E278" s="98">
        <v>3375</v>
      </c>
    </row>
    <row r="279" spans="1:5" ht="15" customHeight="1" x14ac:dyDescent="0.25">
      <c r="A279" s="91" t="s">
        <v>216</v>
      </c>
      <c r="B279" s="92">
        <v>2025</v>
      </c>
      <c r="C279" s="93">
        <v>45748</v>
      </c>
      <c r="D279" s="100" t="s">
        <v>73</v>
      </c>
      <c r="E279" s="98">
        <v>633.01</v>
      </c>
    </row>
    <row r="280" spans="1:5" ht="15" customHeight="1" x14ac:dyDescent="0.25">
      <c r="A280" s="91" t="s">
        <v>216</v>
      </c>
      <c r="B280" s="92">
        <v>2025</v>
      </c>
      <c r="C280" s="93">
        <v>45748</v>
      </c>
      <c r="D280" s="100" t="s">
        <v>74</v>
      </c>
      <c r="E280" s="98">
        <v>430.1</v>
      </c>
    </row>
    <row r="281" spans="1:5" ht="15" customHeight="1" x14ac:dyDescent="0.25">
      <c r="A281" s="91" t="s">
        <v>216</v>
      </c>
      <c r="B281" s="92">
        <v>2025</v>
      </c>
      <c r="C281" s="93">
        <v>45748</v>
      </c>
      <c r="D281" s="100" t="s">
        <v>226</v>
      </c>
      <c r="E281" s="98">
        <v>144.36000000000001</v>
      </c>
    </row>
    <row r="282" spans="1:5" ht="15" customHeight="1" x14ac:dyDescent="0.25">
      <c r="A282" s="91" t="s">
        <v>216</v>
      </c>
      <c r="B282" s="92">
        <v>2025</v>
      </c>
      <c r="C282" s="93">
        <v>45778</v>
      </c>
      <c r="D282" s="100" t="s">
        <v>217</v>
      </c>
      <c r="E282" s="98">
        <v>102.75</v>
      </c>
    </row>
    <row r="283" spans="1:5" ht="15" customHeight="1" x14ac:dyDescent="0.25">
      <c r="A283" s="91" t="s">
        <v>216</v>
      </c>
      <c r="B283" s="92">
        <v>2025</v>
      </c>
      <c r="C283" s="93">
        <v>45778</v>
      </c>
      <c r="D283" s="100" t="s">
        <v>251</v>
      </c>
      <c r="E283" s="98">
        <v>12.5</v>
      </c>
    </row>
    <row r="284" spans="1:5" ht="15" customHeight="1" x14ac:dyDescent="0.25">
      <c r="A284" s="91" t="s">
        <v>216</v>
      </c>
      <c r="B284" s="92">
        <v>2025</v>
      </c>
      <c r="C284" s="93">
        <v>45778</v>
      </c>
      <c r="D284" s="100" t="s">
        <v>198</v>
      </c>
      <c r="E284" s="98">
        <v>184.9</v>
      </c>
    </row>
    <row r="285" spans="1:5" ht="15" customHeight="1" x14ac:dyDescent="0.25">
      <c r="A285" s="91" t="s">
        <v>216</v>
      </c>
      <c r="B285" s="92">
        <v>2025</v>
      </c>
      <c r="C285" s="93">
        <v>45778</v>
      </c>
      <c r="D285" s="100" t="s">
        <v>76</v>
      </c>
      <c r="E285" s="98">
        <v>200</v>
      </c>
    </row>
    <row r="286" spans="1:5" ht="15" customHeight="1" x14ac:dyDescent="0.25">
      <c r="A286" s="91" t="s">
        <v>216</v>
      </c>
      <c r="B286" s="92">
        <v>2025</v>
      </c>
      <c r="C286" s="93">
        <v>45778</v>
      </c>
      <c r="D286" s="100" t="s">
        <v>61</v>
      </c>
      <c r="E286" s="98">
        <v>2018</v>
      </c>
    </row>
    <row r="287" spans="1:5" ht="15" customHeight="1" x14ac:dyDescent="0.25">
      <c r="A287" s="91" t="s">
        <v>216</v>
      </c>
      <c r="B287" s="92">
        <v>2025</v>
      </c>
      <c r="C287" s="93">
        <v>45778</v>
      </c>
      <c r="D287" s="100" t="s">
        <v>219</v>
      </c>
      <c r="E287" s="98">
        <v>3842.31</v>
      </c>
    </row>
    <row r="288" spans="1:5" ht="15" customHeight="1" x14ac:dyDescent="0.25">
      <c r="A288" s="91" t="s">
        <v>216</v>
      </c>
      <c r="B288" s="92">
        <v>2025</v>
      </c>
      <c r="C288" s="93">
        <v>45778</v>
      </c>
      <c r="D288" s="100" t="s">
        <v>62</v>
      </c>
      <c r="E288" s="98">
        <v>3880.8</v>
      </c>
    </row>
    <row r="289" spans="1:5" ht="15" customHeight="1" x14ac:dyDescent="0.25">
      <c r="A289" s="91" t="s">
        <v>216</v>
      </c>
      <c r="B289" s="92">
        <v>2025</v>
      </c>
      <c r="C289" s="93">
        <v>45778</v>
      </c>
      <c r="D289" s="100" t="s">
        <v>259</v>
      </c>
      <c r="E289" s="98">
        <v>3793.46</v>
      </c>
    </row>
    <row r="290" spans="1:5" ht="15" customHeight="1" x14ac:dyDescent="0.25">
      <c r="A290" s="91" t="s">
        <v>216</v>
      </c>
      <c r="B290" s="92">
        <v>2025</v>
      </c>
      <c r="C290" s="93">
        <v>45778</v>
      </c>
      <c r="D290" s="100" t="s">
        <v>63</v>
      </c>
      <c r="E290" s="98">
        <v>1021.95</v>
      </c>
    </row>
    <row r="291" spans="1:5" ht="15" customHeight="1" x14ac:dyDescent="0.25">
      <c r="A291" s="91" t="s">
        <v>216</v>
      </c>
      <c r="B291" s="92">
        <v>2025</v>
      </c>
      <c r="C291" s="93">
        <v>45778</v>
      </c>
      <c r="D291" s="100" t="s">
        <v>64</v>
      </c>
      <c r="E291" s="98">
        <v>819.02</v>
      </c>
    </row>
    <row r="292" spans="1:5" ht="15" customHeight="1" x14ac:dyDescent="0.25">
      <c r="A292" s="91" t="s">
        <v>216</v>
      </c>
      <c r="B292" s="92">
        <v>2025</v>
      </c>
      <c r="C292" s="93">
        <v>45778</v>
      </c>
      <c r="D292" s="100" t="s">
        <v>65</v>
      </c>
      <c r="E292" s="98">
        <v>179.98</v>
      </c>
    </row>
    <row r="293" spans="1:5" ht="15" customHeight="1" x14ac:dyDescent="0.25">
      <c r="A293" s="91" t="s">
        <v>216</v>
      </c>
      <c r="B293" s="92">
        <v>2025</v>
      </c>
      <c r="C293" s="93">
        <v>45778</v>
      </c>
      <c r="D293" s="100" t="s">
        <v>66</v>
      </c>
      <c r="E293" s="98">
        <v>8731.76</v>
      </c>
    </row>
    <row r="294" spans="1:5" ht="15" customHeight="1" x14ac:dyDescent="0.25">
      <c r="A294" s="91" t="s">
        <v>216</v>
      </c>
      <c r="B294" s="92">
        <v>2025</v>
      </c>
      <c r="C294" s="93">
        <v>45778</v>
      </c>
      <c r="D294" s="100" t="s">
        <v>68</v>
      </c>
      <c r="E294" s="98">
        <v>8007.13</v>
      </c>
    </row>
    <row r="295" spans="1:5" ht="15" customHeight="1" x14ac:dyDescent="0.25">
      <c r="A295" s="91" t="s">
        <v>216</v>
      </c>
      <c r="B295" s="92">
        <v>2025</v>
      </c>
      <c r="C295" s="93">
        <v>45778</v>
      </c>
      <c r="D295" s="100" t="s">
        <v>69</v>
      </c>
      <c r="E295" s="98">
        <v>45819.96</v>
      </c>
    </row>
    <row r="296" spans="1:5" ht="15" customHeight="1" x14ac:dyDescent="0.25">
      <c r="A296" s="91" t="s">
        <v>216</v>
      </c>
      <c r="B296" s="92">
        <v>2025</v>
      </c>
      <c r="C296" s="93">
        <v>45778</v>
      </c>
      <c r="D296" s="100" t="s">
        <v>260</v>
      </c>
      <c r="E296" s="98">
        <v>540</v>
      </c>
    </row>
    <row r="297" spans="1:5" ht="15" customHeight="1" x14ac:dyDescent="0.25">
      <c r="A297" s="91" t="s">
        <v>216</v>
      </c>
      <c r="B297" s="92">
        <v>2025</v>
      </c>
      <c r="C297" s="93">
        <v>45778</v>
      </c>
      <c r="D297" s="100" t="s">
        <v>232</v>
      </c>
      <c r="E297" s="98">
        <v>436.25</v>
      </c>
    </row>
    <row r="298" spans="1:5" ht="15" customHeight="1" x14ac:dyDescent="0.25">
      <c r="A298" s="91" t="s">
        <v>216</v>
      </c>
      <c r="B298" s="92">
        <v>2025</v>
      </c>
      <c r="C298" s="93">
        <v>45778</v>
      </c>
      <c r="D298" s="100" t="s">
        <v>70</v>
      </c>
      <c r="E298" s="98">
        <v>333.9</v>
      </c>
    </row>
    <row r="299" spans="1:5" ht="15" customHeight="1" x14ac:dyDescent="0.25">
      <c r="A299" s="91" t="s">
        <v>216</v>
      </c>
      <c r="B299" s="92">
        <v>2025</v>
      </c>
      <c r="C299" s="93">
        <v>45778</v>
      </c>
      <c r="D299" s="100" t="s">
        <v>220</v>
      </c>
      <c r="E299" s="98">
        <v>2932.73</v>
      </c>
    </row>
    <row r="300" spans="1:5" ht="15" customHeight="1" x14ac:dyDescent="0.25">
      <c r="A300" s="91" t="s">
        <v>216</v>
      </c>
      <c r="B300" s="92">
        <v>2025</v>
      </c>
      <c r="C300" s="93">
        <v>45778</v>
      </c>
      <c r="D300" s="100" t="s">
        <v>71</v>
      </c>
      <c r="E300" s="98">
        <v>2415.91</v>
      </c>
    </row>
    <row r="301" spans="1:5" ht="15" customHeight="1" x14ac:dyDescent="0.25">
      <c r="A301" s="91" t="s">
        <v>216</v>
      </c>
      <c r="B301" s="92">
        <v>2025</v>
      </c>
      <c r="C301" s="93">
        <v>45778</v>
      </c>
      <c r="D301" s="100" t="s">
        <v>72</v>
      </c>
      <c r="E301" s="98">
        <v>11</v>
      </c>
    </row>
    <row r="302" spans="1:5" ht="15" customHeight="1" x14ac:dyDescent="0.25">
      <c r="A302" s="91" t="s">
        <v>216</v>
      </c>
      <c r="B302" s="92">
        <v>2025</v>
      </c>
      <c r="C302" s="93">
        <v>45778</v>
      </c>
      <c r="D302" s="100" t="s">
        <v>223</v>
      </c>
      <c r="E302" s="98">
        <v>2077.6</v>
      </c>
    </row>
    <row r="303" spans="1:5" ht="15" customHeight="1" x14ac:dyDescent="0.25">
      <c r="A303" s="91" t="s">
        <v>216</v>
      </c>
      <c r="B303" s="92">
        <v>2025</v>
      </c>
      <c r="C303" s="93">
        <v>45778</v>
      </c>
      <c r="D303" s="100" t="s">
        <v>73</v>
      </c>
      <c r="E303" s="98">
        <v>633.01</v>
      </c>
    </row>
    <row r="304" spans="1:5" ht="15" customHeight="1" x14ac:dyDescent="0.25">
      <c r="A304" s="91" t="s">
        <v>216</v>
      </c>
      <c r="B304" s="92">
        <v>2025</v>
      </c>
      <c r="C304" s="93">
        <v>45778</v>
      </c>
      <c r="D304" s="100" t="s">
        <v>74</v>
      </c>
      <c r="E304" s="98">
        <v>438.94</v>
      </c>
    </row>
    <row r="305" spans="1:5" ht="15" customHeight="1" x14ac:dyDescent="0.25">
      <c r="A305" s="91" t="s">
        <v>216</v>
      </c>
      <c r="B305" s="92">
        <v>2025</v>
      </c>
      <c r="C305" s="93">
        <v>45778</v>
      </c>
      <c r="D305" s="100" t="s">
        <v>226</v>
      </c>
      <c r="E305" s="98">
        <v>144.36000000000001</v>
      </c>
    </row>
    <row r="306" spans="1:5" ht="15" customHeight="1" x14ac:dyDescent="0.25">
      <c r="A306" s="91" t="s">
        <v>216</v>
      </c>
      <c r="B306" s="92">
        <v>2025</v>
      </c>
      <c r="C306" s="93">
        <v>45809</v>
      </c>
      <c r="D306" s="100" t="s">
        <v>217</v>
      </c>
      <c r="E306" s="98">
        <v>102.75</v>
      </c>
    </row>
    <row r="307" spans="1:5" ht="15" customHeight="1" x14ac:dyDescent="0.25">
      <c r="A307" s="91" t="s">
        <v>216</v>
      </c>
      <c r="B307" s="92">
        <v>2025</v>
      </c>
      <c r="C307" s="93">
        <v>45809</v>
      </c>
      <c r="D307" s="100" t="s">
        <v>191</v>
      </c>
      <c r="E307" s="98">
        <v>661</v>
      </c>
    </row>
    <row r="308" spans="1:5" ht="15" customHeight="1" x14ac:dyDescent="0.25">
      <c r="A308" s="91" t="s">
        <v>216</v>
      </c>
      <c r="B308" s="92">
        <v>2025</v>
      </c>
      <c r="C308" s="93">
        <v>45809</v>
      </c>
      <c r="D308" s="100" t="s">
        <v>75</v>
      </c>
      <c r="E308" s="98">
        <v>700</v>
      </c>
    </row>
    <row r="309" spans="1:5" ht="15" customHeight="1" x14ac:dyDescent="0.25">
      <c r="A309" s="91" t="s">
        <v>216</v>
      </c>
      <c r="B309" s="92">
        <v>2025</v>
      </c>
      <c r="C309" s="93">
        <v>45809</v>
      </c>
      <c r="D309" s="100" t="s">
        <v>192</v>
      </c>
      <c r="E309" s="98">
        <v>22528.799999999999</v>
      </c>
    </row>
    <row r="310" spans="1:5" ht="15" customHeight="1" x14ac:dyDescent="0.25">
      <c r="A310" s="91" t="s">
        <v>216</v>
      </c>
      <c r="B310" s="92">
        <v>2025</v>
      </c>
      <c r="C310" s="93">
        <v>45809</v>
      </c>
      <c r="D310" s="100" t="s">
        <v>58</v>
      </c>
      <c r="E310" s="98">
        <v>1297.19</v>
      </c>
    </row>
    <row r="311" spans="1:5" ht="15" customHeight="1" x14ac:dyDescent="0.25">
      <c r="A311" s="91" t="s">
        <v>216</v>
      </c>
      <c r="B311" s="92">
        <v>2025</v>
      </c>
      <c r="C311" s="93">
        <v>45809</v>
      </c>
      <c r="D311" s="100" t="s">
        <v>251</v>
      </c>
      <c r="E311" s="98">
        <v>193.64</v>
      </c>
    </row>
    <row r="312" spans="1:5" ht="15" customHeight="1" x14ac:dyDescent="0.25">
      <c r="A312" s="91" t="s">
        <v>216</v>
      </c>
      <c r="B312" s="92">
        <v>2025</v>
      </c>
      <c r="C312" s="93">
        <v>45809</v>
      </c>
      <c r="D312" s="100" t="s">
        <v>61</v>
      </c>
      <c r="E312" s="98">
        <v>1698</v>
      </c>
    </row>
    <row r="313" spans="1:5" ht="15" customHeight="1" x14ac:dyDescent="0.25">
      <c r="A313" s="91" t="s">
        <v>216</v>
      </c>
      <c r="B313" s="92">
        <v>2025</v>
      </c>
      <c r="C313" s="93">
        <v>45809</v>
      </c>
      <c r="D313" s="100" t="s">
        <v>219</v>
      </c>
      <c r="E313" s="98">
        <v>235.31</v>
      </c>
    </row>
    <row r="314" spans="1:5" ht="15" customHeight="1" x14ac:dyDescent="0.25">
      <c r="A314" s="91" t="s">
        <v>216</v>
      </c>
      <c r="B314" s="92">
        <v>2025</v>
      </c>
      <c r="C314" s="93">
        <v>45809</v>
      </c>
      <c r="D314" s="100" t="s">
        <v>62</v>
      </c>
      <c r="E314" s="98">
        <v>1123</v>
      </c>
    </row>
    <row r="315" spans="1:5" ht="15" customHeight="1" x14ac:dyDescent="0.25">
      <c r="A315" s="91" t="s">
        <v>216</v>
      </c>
      <c r="B315" s="92">
        <v>2025</v>
      </c>
      <c r="C315" s="93">
        <v>45809</v>
      </c>
      <c r="D315" s="100" t="s">
        <v>259</v>
      </c>
      <c r="E315" s="98">
        <v>12417.85</v>
      </c>
    </row>
    <row r="316" spans="1:5" ht="15" customHeight="1" x14ac:dyDescent="0.25">
      <c r="A316" s="91" t="s">
        <v>216</v>
      </c>
      <c r="B316" s="92">
        <v>2025</v>
      </c>
      <c r="C316" s="93">
        <v>45809</v>
      </c>
      <c r="D316" s="100" t="s">
        <v>63</v>
      </c>
      <c r="E316" s="98">
        <v>896.95</v>
      </c>
    </row>
    <row r="317" spans="1:5" ht="15" customHeight="1" x14ac:dyDescent="0.25">
      <c r="A317" s="91" t="s">
        <v>216</v>
      </c>
      <c r="B317" s="92">
        <v>2025</v>
      </c>
      <c r="C317" s="93">
        <v>45809</v>
      </c>
      <c r="D317" s="100" t="s">
        <v>64</v>
      </c>
      <c r="E317" s="98">
        <v>895.89</v>
      </c>
    </row>
    <row r="318" spans="1:5" ht="15" customHeight="1" x14ac:dyDescent="0.25">
      <c r="A318" s="91" t="s">
        <v>216</v>
      </c>
      <c r="B318" s="92">
        <v>2025</v>
      </c>
      <c r="C318" s="93">
        <v>45809</v>
      </c>
      <c r="D318" s="100" t="s">
        <v>65</v>
      </c>
      <c r="E318" s="98">
        <v>183</v>
      </c>
    </row>
    <row r="319" spans="1:5" ht="15" customHeight="1" x14ac:dyDescent="0.25">
      <c r="A319" s="91" t="s">
        <v>216</v>
      </c>
      <c r="B319" s="92">
        <v>2025</v>
      </c>
      <c r="C319" s="93">
        <v>45809</v>
      </c>
      <c r="D319" s="100" t="s">
        <v>66</v>
      </c>
      <c r="E319" s="98">
        <v>137.71</v>
      </c>
    </row>
    <row r="320" spans="1:5" ht="15" customHeight="1" x14ac:dyDescent="0.25">
      <c r="A320" s="91" t="s">
        <v>216</v>
      </c>
      <c r="B320" s="92">
        <v>2025</v>
      </c>
      <c r="C320" s="93">
        <v>45809</v>
      </c>
      <c r="D320" s="100" t="s">
        <v>68</v>
      </c>
      <c r="E320" s="98">
        <v>147.25</v>
      </c>
    </row>
    <row r="321" spans="1:5" ht="15" customHeight="1" x14ac:dyDescent="0.25">
      <c r="A321" s="91" t="s">
        <v>216</v>
      </c>
      <c r="B321" s="92">
        <v>2025</v>
      </c>
      <c r="C321" s="93">
        <v>45809</v>
      </c>
      <c r="D321" s="100" t="s">
        <v>269</v>
      </c>
      <c r="E321" s="98">
        <v>3783.28</v>
      </c>
    </row>
    <row r="322" spans="1:5" ht="15" customHeight="1" x14ac:dyDescent="0.25">
      <c r="A322" s="91" t="s">
        <v>216</v>
      </c>
      <c r="B322" s="92">
        <v>2025</v>
      </c>
      <c r="C322" s="93">
        <v>45809</v>
      </c>
      <c r="D322" s="100" t="s">
        <v>69</v>
      </c>
      <c r="E322" s="98">
        <v>46524.44</v>
      </c>
    </row>
    <row r="323" spans="1:5" ht="15" customHeight="1" x14ac:dyDescent="0.25">
      <c r="A323" s="91" t="s">
        <v>216</v>
      </c>
      <c r="B323" s="92">
        <v>2025</v>
      </c>
      <c r="C323" s="93">
        <v>45809</v>
      </c>
      <c r="D323" s="100" t="s">
        <v>232</v>
      </c>
      <c r="E323" s="98">
        <v>1935</v>
      </c>
    </row>
    <row r="324" spans="1:5" ht="15" customHeight="1" x14ac:dyDescent="0.25">
      <c r="A324" s="91" t="s">
        <v>216</v>
      </c>
      <c r="B324" s="92">
        <v>2025</v>
      </c>
      <c r="C324" s="93">
        <v>45809</v>
      </c>
      <c r="D324" s="100" t="s">
        <v>194</v>
      </c>
      <c r="E324" s="98">
        <v>2748.5</v>
      </c>
    </row>
    <row r="325" spans="1:5" ht="15" customHeight="1" x14ac:dyDescent="0.25">
      <c r="A325" s="91" t="s">
        <v>216</v>
      </c>
      <c r="B325" s="92">
        <v>2025</v>
      </c>
      <c r="C325" s="93">
        <v>45809</v>
      </c>
      <c r="D325" s="100" t="s">
        <v>220</v>
      </c>
      <c r="E325" s="98">
        <v>94089.35</v>
      </c>
    </row>
    <row r="326" spans="1:5" ht="15" customHeight="1" x14ac:dyDescent="0.25">
      <c r="A326" s="91" t="s">
        <v>216</v>
      </c>
      <c r="B326" s="92">
        <v>2025</v>
      </c>
      <c r="C326" s="93">
        <v>45809</v>
      </c>
      <c r="D326" s="100" t="s">
        <v>71</v>
      </c>
      <c r="E326" s="98">
        <v>25325.87</v>
      </c>
    </row>
    <row r="327" spans="1:5" ht="15" customHeight="1" x14ac:dyDescent="0.25">
      <c r="A327" s="91" t="s">
        <v>216</v>
      </c>
      <c r="B327" s="92">
        <v>2025</v>
      </c>
      <c r="C327" s="93">
        <v>45809</v>
      </c>
      <c r="D327" s="100" t="s">
        <v>72</v>
      </c>
      <c r="E327" s="98">
        <v>174.82</v>
      </c>
    </row>
    <row r="328" spans="1:5" ht="15" customHeight="1" x14ac:dyDescent="0.25">
      <c r="A328" s="91" t="s">
        <v>216</v>
      </c>
      <c r="B328" s="92">
        <v>2025</v>
      </c>
      <c r="C328" s="93">
        <v>45809</v>
      </c>
      <c r="D328" s="100" t="s">
        <v>223</v>
      </c>
      <c r="E328" s="98">
        <v>2147.6</v>
      </c>
    </row>
    <row r="329" spans="1:5" ht="15" customHeight="1" x14ac:dyDescent="0.25">
      <c r="A329" s="91" t="s">
        <v>216</v>
      </c>
      <c r="B329" s="92">
        <v>2025</v>
      </c>
      <c r="C329" s="93">
        <v>45809</v>
      </c>
      <c r="D329" s="100" t="s">
        <v>73</v>
      </c>
      <c r="E329" s="98">
        <v>633.01</v>
      </c>
    </row>
    <row r="330" spans="1:5" ht="15" customHeight="1" x14ac:dyDescent="0.25">
      <c r="A330" s="91" t="s">
        <v>216</v>
      </c>
      <c r="B330" s="92">
        <v>2025</v>
      </c>
      <c r="C330" s="93">
        <v>45809</v>
      </c>
      <c r="D330" s="100" t="s">
        <v>74</v>
      </c>
      <c r="E330" s="98">
        <v>474.4</v>
      </c>
    </row>
    <row r="331" spans="1:5" ht="15" customHeight="1" x14ac:dyDescent="0.25">
      <c r="A331" s="91" t="s">
        <v>216</v>
      </c>
      <c r="B331" s="92">
        <v>2025</v>
      </c>
      <c r="C331" s="93">
        <v>45809</v>
      </c>
      <c r="D331" s="100" t="s">
        <v>226</v>
      </c>
      <c r="E331" s="98">
        <v>144.36000000000001</v>
      </c>
    </row>
    <row r="332" spans="1:5" ht="15" customHeight="1" x14ac:dyDescent="0.25">
      <c r="A332" s="91" t="s">
        <v>216</v>
      </c>
      <c r="B332" s="92">
        <v>2025</v>
      </c>
      <c r="C332" s="93">
        <v>45839</v>
      </c>
      <c r="D332" s="100" t="s">
        <v>217</v>
      </c>
      <c r="E332" s="98">
        <v>102.75</v>
      </c>
    </row>
    <row r="333" spans="1:5" ht="15" customHeight="1" x14ac:dyDescent="0.25">
      <c r="A333" s="91" t="s">
        <v>216</v>
      </c>
      <c r="B333" s="92">
        <v>2025</v>
      </c>
      <c r="C333" s="93">
        <v>45839</v>
      </c>
      <c r="D333" s="100" t="s">
        <v>191</v>
      </c>
      <c r="E333" s="98">
        <v>2560.1799999999998</v>
      </c>
    </row>
    <row r="334" spans="1:5" ht="15" customHeight="1" x14ac:dyDescent="0.25">
      <c r="A334" s="91" t="s">
        <v>216</v>
      </c>
      <c r="B334" s="92">
        <v>2025</v>
      </c>
      <c r="C334" s="93">
        <v>45839</v>
      </c>
      <c r="D334" s="100" t="s">
        <v>75</v>
      </c>
      <c r="E334" s="98">
        <v>906.18</v>
      </c>
    </row>
    <row r="335" spans="1:5" ht="15" customHeight="1" x14ac:dyDescent="0.25">
      <c r="A335" s="91" t="s">
        <v>216</v>
      </c>
      <c r="B335" s="92">
        <v>2025</v>
      </c>
      <c r="C335" s="93">
        <v>45839</v>
      </c>
      <c r="D335" s="100" t="s">
        <v>192</v>
      </c>
      <c r="E335" s="98">
        <v>58927.62</v>
      </c>
    </row>
    <row r="336" spans="1:5" ht="15" customHeight="1" x14ac:dyDescent="0.25">
      <c r="A336" s="91" t="s">
        <v>216</v>
      </c>
      <c r="B336" s="92">
        <v>2025</v>
      </c>
      <c r="C336" s="93">
        <v>45839</v>
      </c>
      <c r="D336" s="100" t="s">
        <v>181</v>
      </c>
      <c r="E336" s="98">
        <v>28863.69</v>
      </c>
    </row>
    <row r="337" spans="1:5" ht="15" customHeight="1" x14ac:dyDescent="0.25">
      <c r="A337" s="91" t="s">
        <v>216</v>
      </c>
      <c r="B337" s="92">
        <v>2025</v>
      </c>
      <c r="C337" s="93">
        <v>45839</v>
      </c>
      <c r="D337" s="100" t="s">
        <v>251</v>
      </c>
      <c r="E337" s="98">
        <v>956.68</v>
      </c>
    </row>
    <row r="338" spans="1:5" ht="15" customHeight="1" x14ac:dyDescent="0.25">
      <c r="A338" s="91" t="s">
        <v>216</v>
      </c>
      <c r="B338" s="92">
        <v>2025</v>
      </c>
      <c r="C338" s="93">
        <v>45839</v>
      </c>
      <c r="D338" s="100" t="s">
        <v>198</v>
      </c>
      <c r="E338" s="98">
        <v>413.7</v>
      </c>
    </row>
    <row r="339" spans="1:5" ht="15" customHeight="1" x14ac:dyDescent="0.25">
      <c r="A339" s="91" t="s">
        <v>216</v>
      </c>
      <c r="B339" s="92">
        <v>2025</v>
      </c>
      <c r="C339" s="93">
        <v>45839</v>
      </c>
      <c r="D339" s="100" t="s">
        <v>59</v>
      </c>
      <c r="E339" s="98">
        <v>386.43</v>
      </c>
    </row>
    <row r="340" spans="1:5" ht="15" customHeight="1" x14ac:dyDescent="0.25">
      <c r="A340" s="91" t="s">
        <v>216</v>
      </c>
      <c r="B340" s="92">
        <v>2025</v>
      </c>
      <c r="C340" s="93">
        <v>45839</v>
      </c>
      <c r="D340" s="100" t="s">
        <v>231</v>
      </c>
      <c r="E340" s="98">
        <v>1083.5999999999999</v>
      </c>
    </row>
    <row r="341" spans="1:5" ht="15" customHeight="1" x14ac:dyDescent="0.25">
      <c r="A341" s="91" t="s">
        <v>216</v>
      </c>
      <c r="B341" s="92">
        <v>2025</v>
      </c>
      <c r="C341" s="93">
        <v>45839</v>
      </c>
      <c r="D341" s="100" t="s">
        <v>61</v>
      </c>
      <c r="E341" s="98">
        <v>1518</v>
      </c>
    </row>
    <row r="342" spans="1:5" ht="15" customHeight="1" x14ac:dyDescent="0.25">
      <c r="A342" s="91" t="s">
        <v>216</v>
      </c>
      <c r="B342" s="92">
        <v>2025</v>
      </c>
      <c r="C342" s="93">
        <v>45839</v>
      </c>
      <c r="D342" s="100" t="s">
        <v>219</v>
      </c>
      <c r="E342" s="98">
        <v>100.04</v>
      </c>
    </row>
    <row r="343" spans="1:5" ht="15" customHeight="1" x14ac:dyDescent="0.25">
      <c r="A343" s="91" t="s">
        <v>216</v>
      </c>
      <c r="B343" s="92">
        <v>2025</v>
      </c>
      <c r="C343" s="93">
        <v>45839</v>
      </c>
      <c r="D343" s="100" t="s">
        <v>63</v>
      </c>
      <c r="E343" s="98">
        <v>896.95</v>
      </c>
    </row>
    <row r="344" spans="1:5" ht="15" customHeight="1" x14ac:dyDescent="0.25">
      <c r="A344" s="91" t="s">
        <v>216</v>
      </c>
      <c r="B344" s="92">
        <v>2025</v>
      </c>
      <c r="C344" s="93">
        <v>45839</v>
      </c>
      <c r="D344" s="100" t="s">
        <v>64</v>
      </c>
      <c r="E344" s="98">
        <v>806</v>
      </c>
    </row>
    <row r="345" spans="1:5" ht="15" customHeight="1" x14ac:dyDescent="0.25">
      <c r="A345" s="91" t="s">
        <v>216</v>
      </c>
      <c r="B345" s="92">
        <v>2025</v>
      </c>
      <c r="C345" s="93">
        <v>45839</v>
      </c>
      <c r="D345" s="100" t="s">
        <v>65</v>
      </c>
      <c r="E345" s="98">
        <v>182.8</v>
      </c>
    </row>
    <row r="346" spans="1:5" ht="15" customHeight="1" x14ac:dyDescent="0.25">
      <c r="A346" s="91" t="s">
        <v>216</v>
      </c>
      <c r="B346" s="92">
        <v>2025</v>
      </c>
      <c r="C346" s="93">
        <v>45839</v>
      </c>
      <c r="D346" s="100" t="s">
        <v>66</v>
      </c>
      <c r="E346" s="98">
        <v>50.52</v>
      </c>
    </row>
    <row r="347" spans="1:5" ht="15" customHeight="1" x14ac:dyDescent="0.25">
      <c r="A347" s="91" t="s">
        <v>216</v>
      </c>
      <c r="B347" s="92">
        <v>2025</v>
      </c>
      <c r="C347" s="93">
        <v>45839</v>
      </c>
      <c r="D347" s="100" t="s">
        <v>67</v>
      </c>
      <c r="E347" s="98">
        <v>262.17</v>
      </c>
    </row>
    <row r="348" spans="1:5" ht="15" customHeight="1" x14ac:dyDescent="0.25">
      <c r="A348" s="91" t="s">
        <v>216</v>
      </c>
      <c r="B348" s="92">
        <v>2025</v>
      </c>
      <c r="C348" s="93">
        <v>45839</v>
      </c>
      <c r="D348" s="100" t="s">
        <v>68</v>
      </c>
      <c r="E348" s="98">
        <v>4412.16</v>
      </c>
    </row>
    <row r="349" spans="1:5" ht="15" customHeight="1" x14ac:dyDescent="0.25">
      <c r="A349" s="91" t="s">
        <v>216</v>
      </c>
      <c r="B349" s="92">
        <v>2025</v>
      </c>
      <c r="C349" s="93">
        <v>45839</v>
      </c>
      <c r="D349" s="100" t="s">
        <v>69</v>
      </c>
      <c r="E349" s="98">
        <v>43730.1</v>
      </c>
    </row>
    <row r="350" spans="1:5" ht="15" customHeight="1" x14ac:dyDescent="0.25">
      <c r="A350" s="91" t="s">
        <v>216</v>
      </c>
      <c r="B350" s="92">
        <v>2025</v>
      </c>
      <c r="C350" s="93">
        <v>45839</v>
      </c>
      <c r="D350" s="100" t="s">
        <v>78</v>
      </c>
      <c r="E350" s="98">
        <v>15.56</v>
      </c>
    </row>
    <row r="351" spans="1:5" ht="15" customHeight="1" x14ac:dyDescent="0.25">
      <c r="A351" s="91" t="s">
        <v>216</v>
      </c>
      <c r="B351" s="92">
        <v>2025</v>
      </c>
      <c r="C351" s="93">
        <v>45839</v>
      </c>
      <c r="D351" s="100" t="s">
        <v>180</v>
      </c>
      <c r="E351" s="98">
        <v>6566.7</v>
      </c>
    </row>
    <row r="352" spans="1:5" ht="15" customHeight="1" x14ac:dyDescent="0.25">
      <c r="A352" s="91" t="s">
        <v>216</v>
      </c>
      <c r="B352" s="92">
        <v>2025</v>
      </c>
      <c r="C352" s="93">
        <v>45839</v>
      </c>
      <c r="D352" s="100" t="s">
        <v>272</v>
      </c>
      <c r="E352" s="98">
        <v>7.0000000000000007E-2</v>
      </c>
    </row>
    <row r="353" spans="1:5" ht="15" customHeight="1" x14ac:dyDescent="0.25">
      <c r="A353" s="91" t="s">
        <v>216</v>
      </c>
      <c r="B353" s="92">
        <v>2025</v>
      </c>
      <c r="C353" s="93">
        <v>45839</v>
      </c>
      <c r="D353" s="100" t="s">
        <v>232</v>
      </c>
      <c r="E353" s="98">
        <v>2285</v>
      </c>
    </row>
    <row r="354" spans="1:5" ht="15" customHeight="1" x14ac:dyDescent="0.25">
      <c r="A354" s="91" t="s">
        <v>216</v>
      </c>
      <c r="B354" s="92">
        <v>2025</v>
      </c>
      <c r="C354" s="93">
        <v>45839</v>
      </c>
      <c r="D354" s="100" t="s">
        <v>70</v>
      </c>
      <c r="E354" s="98">
        <v>150.88999999999999</v>
      </c>
    </row>
    <row r="355" spans="1:5" ht="15" customHeight="1" x14ac:dyDescent="0.25">
      <c r="A355" s="91" t="s">
        <v>216</v>
      </c>
      <c r="B355" s="92">
        <v>2025</v>
      </c>
      <c r="C355" s="93">
        <v>45839</v>
      </c>
      <c r="D355" s="100" t="s">
        <v>220</v>
      </c>
      <c r="E355" s="98">
        <v>2967.66</v>
      </c>
    </row>
    <row r="356" spans="1:5" ht="15" customHeight="1" x14ac:dyDescent="0.25">
      <c r="A356" s="91" t="s">
        <v>216</v>
      </c>
      <c r="B356" s="92">
        <v>2025</v>
      </c>
      <c r="C356" s="93">
        <v>45839</v>
      </c>
      <c r="D356" s="100" t="s">
        <v>71</v>
      </c>
      <c r="E356" s="98">
        <v>49363.79</v>
      </c>
    </row>
    <row r="357" spans="1:5" ht="15" customHeight="1" x14ac:dyDescent="0.25">
      <c r="A357" s="91" t="s">
        <v>216</v>
      </c>
      <c r="B357" s="92">
        <v>2025</v>
      </c>
      <c r="C357" s="93">
        <v>45839</v>
      </c>
      <c r="D357" s="100" t="s">
        <v>223</v>
      </c>
      <c r="E357" s="98">
        <v>1967.6</v>
      </c>
    </row>
    <row r="358" spans="1:5" ht="15" customHeight="1" x14ac:dyDescent="0.25">
      <c r="A358" s="91" t="s">
        <v>216</v>
      </c>
      <c r="B358" s="92">
        <v>2025</v>
      </c>
      <c r="C358" s="93">
        <v>45839</v>
      </c>
      <c r="D358" s="100" t="s">
        <v>73</v>
      </c>
      <c r="E358" s="98">
        <v>633.01</v>
      </c>
    </row>
    <row r="359" spans="1:5" ht="15" customHeight="1" x14ac:dyDescent="0.25">
      <c r="A359" s="91" t="s">
        <v>216</v>
      </c>
      <c r="B359" s="92">
        <v>2025</v>
      </c>
      <c r="C359" s="93">
        <v>45839</v>
      </c>
      <c r="D359" s="100" t="s">
        <v>74</v>
      </c>
      <c r="E359" s="98">
        <v>901</v>
      </c>
    </row>
    <row r="360" spans="1:5" ht="15" customHeight="1" x14ac:dyDescent="0.25">
      <c r="A360" s="91" t="s">
        <v>216</v>
      </c>
      <c r="B360" s="92">
        <v>2025</v>
      </c>
      <c r="C360" s="93">
        <v>45839</v>
      </c>
      <c r="D360" s="100" t="s">
        <v>226</v>
      </c>
      <c r="E360" s="98">
        <v>144.36000000000001</v>
      </c>
    </row>
    <row r="361" spans="1:5" ht="15" customHeight="1" x14ac:dyDescent="0.25">
      <c r="A361" s="91" t="s">
        <v>216</v>
      </c>
      <c r="B361" s="92">
        <v>2025</v>
      </c>
      <c r="C361" s="93">
        <v>45870</v>
      </c>
      <c r="D361" s="100" t="s">
        <v>251</v>
      </c>
      <c r="E361" s="98">
        <v>603.33000000000004</v>
      </c>
    </row>
    <row r="362" spans="1:5" ht="15" customHeight="1" x14ac:dyDescent="0.25">
      <c r="A362" s="91" t="s">
        <v>216</v>
      </c>
      <c r="B362" s="92">
        <v>2025</v>
      </c>
      <c r="C362" s="93">
        <v>45870</v>
      </c>
      <c r="D362" s="100" t="s">
        <v>198</v>
      </c>
      <c r="E362" s="98">
        <v>450.78</v>
      </c>
    </row>
    <row r="363" spans="1:5" ht="15" customHeight="1" x14ac:dyDescent="0.25">
      <c r="A363" s="91" t="s">
        <v>216</v>
      </c>
      <c r="B363" s="92">
        <v>2025</v>
      </c>
      <c r="C363" s="93">
        <v>45870</v>
      </c>
      <c r="D363" s="100" t="s">
        <v>231</v>
      </c>
      <c r="E363" s="98">
        <v>1083.5899999999999</v>
      </c>
    </row>
    <row r="364" spans="1:5" ht="15" customHeight="1" x14ac:dyDescent="0.25">
      <c r="A364" s="91" t="s">
        <v>216</v>
      </c>
      <c r="B364" s="92">
        <v>2025</v>
      </c>
      <c r="C364" s="93">
        <v>45870</v>
      </c>
      <c r="D364" s="100" t="s">
        <v>76</v>
      </c>
      <c r="E364" s="98">
        <v>41.95</v>
      </c>
    </row>
    <row r="365" spans="1:5" ht="15" customHeight="1" x14ac:dyDescent="0.25">
      <c r="A365" s="91" t="s">
        <v>216</v>
      </c>
      <c r="B365" s="92">
        <v>2025</v>
      </c>
      <c r="C365" s="93">
        <v>45870</v>
      </c>
      <c r="D365" s="100" t="s">
        <v>284</v>
      </c>
      <c r="E365" s="98">
        <v>1032.53</v>
      </c>
    </row>
    <row r="366" spans="1:5" ht="15" customHeight="1" x14ac:dyDescent="0.25">
      <c r="A366" s="91" t="s">
        <v>216</v>
      </c>
      <c r="B366" s="92">
        <v>2025</v>
      </c>
      <c r="C366" s="93">
        <v>45870</v>
      </c>
      <c r="D366" s="100" t="s">
        <v>182</v>
      </c>
      <c r="E366" s="98">
        <v>3320.02</v>
      </c>
    </row>
    <row r="367" spans="1:5" ht="15" customHeight="1" x14ac:dyDescent="0.25">
      <c r="A367" s="91" t="s">
        <v>216</v>
      </c>
      <c r="B367" s="92">
        <v>2025</v>
      </c>
      <c r="C367" s="93">
        <v>45870</v>
      </c>
      <c r="D367" s="100" t="s">
        <v>61</v>
      </c>
      <c r="E367" s="98">
        <v>1518</v>
      </c>
    </row>
    <row r="368" spans="1:5" ht="15" customHeight="1" x14ac:dyDescent="0.25">
      <c r="A368" s="91" t="s">
        <v>216</v>
      </c>
      <c r="B368" s="92">
        <v>2025</v>
      </c>
      <c r="C368" s="93">
        <v>45870</v>
      </c>
      <c r="D368" s="100" t="s">
        <v>219</v>
      </c>
      <c r="E368" s="98">
        <v>150</v>
      </c>
    </row>
    <row r="369" spans="1:5" ht="15" customHeight="1" x14ac:dyDescent="0.25">
      <c r="A369" s="91" t="s">
        <v>216</v>
      </c>
      <c r="B369" s="92">
        <v>2025</v>
      </c>
      <c r="C369" s="93">
        <v>45870</v>
      </c>
      <c r="D369" s="100" t="s">
        <v>63</v>
      </c>
      <c r="E369" s="98">
        <v>896.95</v>
      </c>
    </row>
    <row r="370" spans="1:5" ht="15" customHeight="1" x14ac:dyDescent="0.25">
      <c r="A370" s="91" t="s">
        <v>216</v>
      </c>
      <c r="B370" s="92">
        <v>2025</v>
      </c>
      <c r="C370" s="93">
        <v>45870</v>
      </c>
      <c r="D370" s="100" t="s">
        <v>64</v>
      </c>
      <c r="E370" s="98">
        <v>806</v>
      </c>
    </row>
    <row r="371" spans="1:5" ht="15" customHeight="1" x14ac:dyDescent="0.25">
      <c r="A371" s="91" t="s">
        <v>216</v>
      </c>
      <c r="B371" s="92">
        <v>2025</v>
      </c>
      <c r="C371" s="93">
        <v>45870</v>
      </c>
      <c r="D371" s="100" t="s">
        <v>285</v>
      </c>
      <c r="E371" s="98">
        <v>1500</v>
      </c>
    </row>
    <row r="372" spans="1:5" ht="15" customHeight="1" x14ac:dyDescent="0.25">
      <c r="A372" s="91" t="s">
        <v>216</v>
      </c>
      <c r="B372" s="92">
        <v>2025</v>
      </c>
      <c r="C372" s="93">
        <v>45870</v>
      </c>
      <c r="D372" s="100" t="s">
        <v>65</v>
      </c>
      <c r="E372" s="98">
        <v>183</v>
      </c>
    </row>
    <row r="373" spans="1:5" ht="15" customHeight="1" x14ac:dyDescent="0.25">
      <c r="A373" s="91" t="s">
        <v>216</v>
      </c>
      <c r="B373" s="92">
        <v>2025</v>
      </c>
      <c r="C373" s="93">
        <v>45870</v>
      </c>
      <c r="D373" s="100" t="s">
        <v>66</v>
      </c>
      <c r="E373" s="98">
        <v>4.57</v>
      </c>
    </row>
    <row r="374" spans="1:5" ht="15" customHeight="1" x14ac:dyDescent="0.25">
      <c r="A374" s="91" t="s">
        <v>216</v>
      </c>
      <c r="B374" s="92">
        <v>2025</v>
      </c>
      <c r="C374" s="93">
        <v>45870</v>
      </c>
      <c r="D374" s="100" t="s">
        <v>67</v>
      </c>
      <c r="E374" s="98">
        <v>1410.01</v>
      </c>
    </row>
    <row r="375" spans="1:5" ht="15" customHeight="1" x14ac:dyDescent="0.25">
      <c r="A375" s="91" t="s">
        <v>216</v>
      </c>
      <c r="B375" s="92">
        <v>2025</v>
      </c>
      <c r="C375" s="93">
        <v>45870</v>
      </c>
      <c r="D375" s="100" t="s">
        <v>68</v>
      </c>
      <c r="E375" s="98">
        <v>11807.83</v>
      </c>
    </row>
    <row r="376" spans="1:5" ht="15" customHeight="1" x14ac:dyDescent="0.25">
      <c r="A376" s="91" t="s">
        <v>216</v>
      </c>
      <c r="B376" s="92">
        <v>2025</v>
      </c>
      <c r="C376" s="93">
        <v>45870</v>
      </c>
      <c r="D376" s="100" t="s">
        <v>269</v>
      </c>
      <c r="E376" s="98">
        <v>646.13</v>
      </c>
    </row>
    <row r="377" spans="1:5" ht="15" customHeight="1" x14ac:dyDescent="0.25">
      <c r="A377" s="91" t="s">
        <v>216</v>
      </c>
      <c r="B377" s="92">
        <v>2025</v>
      </c>
      <c r="C377" s="93">
        <v>45870</v>
      </c>
      <c r="D377" s="100" t="s">
        <v>69</v>
      </c>
      <c r="E377" s="98">
        <v>43851.09</v>
      </c>
    </row>
    <row r="378" spans="1:5" ht="15" customHeight="1" x14ac:dyDescent="0.25">
      <c r="A378" s="91" t="s">
        <v>216</v>
      </c>
      <c r="B378" s="92">
        <v>2025</v>
      </c>
      <c r="C378" s="93">
        <v>45870</v>
      </c>
      <c r="D378" s="100" t="s">
        <v>78</v>
      </c>
      <c r="E378" s="98">
        <v>652.63</v>
      </c>
    </row>
    <row r="379" spans="1:5" ht="15" customHeight="1" x14ac:dyDescent="0.25">
      <c r="A379" s="91" t="s">
        <v>216</v>
      </c>
      <c r="B379" s="92">
        <v>2025</v>
      </c>
      <c r="C379" s="93">
        <v>45870</v>
      </c>
      <c r="D379" s="100" t="s">
        <v>180</v>
      </c>
      <c r="E379" s="98">
        <v>3262.37</v>
      </c>
    </row>
    <row r="380" spans="1:5" ht="15" customHeight="1" x14ac:dyDescent="0.25">
      <c r="A380" s="91" t="s">
        <v>216</v>
      </c>
      <c r="B380" s="92">
        <v>2025</v>
      </c>
      <c r="C380" s="93">
        <v>45870</v>
      </c>
      <c r="D380" s="100" t="s">
        <v>232</v>
      </c>
      <c r="E380" s="98">
        <v>180</v>
      </c>
    </row>
    <row r="381" spans="1:5" ht="15" customHeight="1" x14ac:dyDescent="0.25">
      <c r="A381" s="91" t="s">
        <v>216</v>
      </c>
      <c r="B381" s="92">
        <v>2025</v>
      </c>
      <c r="C381" s="93">
        <v>45870</v>
      </c>
      <c r="D381" s="100" t="s">
        <v>70</v>
      </c>
      <c r="E381" s="98">
        <v>6517.77</v>
      </c>
    </row>
    <row r="382" spans="1:5" ht="15" customHeight="1" x14ac:dyDescent="0.25">
      <c r="A382" s="91" t="s">
        <v>216</v>
      </c>
      <c r="B382" s="92">
        <v>2025</v>
      </c>
      <c r="C382" s="93">
        <v>45870</v>
      </c>
      <c r="D382" s="100" t="s">
        <v>220</v>
      </c>
      <c r="E382" s="98">
        <v>2987.63</v>
      </c>
    </row>
    <row r="383" spans="1:5" ht="15" customHeight="1" x14ac:dyDescent="0.25">
      <c r="A383" s="91" t="s">
        <v>216</v>
      </c>
      <c r="B383" s="92">
        <v>2025</v>
      </c>
      <c r="C383" s="93">
        <v>45870</v>
      </c>
      <c r="D383" s="100" t="s">
        <v>71</v>
      </c>
      <c r="E383" s="98">
        <v>16814</v>
      </c>
    </row>
    <row r="384" spans="1:5" ht="15" customHeight="1" x14ac:dyDescent="0.25">
      <c r="A384" s="91" t="s">
        <v>216</v>
      </c>
      <c r="B384" s="92">
        <v>2025</v>
      </c>
      <c r="C384" s="93">
        <v>45870</v>
      </c>
      <c r="D384" s="100" t="s">
        <v>223</v>
      </c>
      <c r="E384" s="98">
        <v>617.6</v>
      </c>
    </row>
    <row r="385" spans="1:5" ht="15" customHeight="1" x14ac:dyDescent="0.25">
      <c r="A385" s="91" t="s">
        <v>216</v>
      </c>
      <c r="B385" s="92">
        <v>2025</v>
      </c>
      <c r="C385" s="93">
        <v>45870</v>
      </c>
      <c r="D385" s="100" t="s">
        <v>286</v>
      </c>
      <c r="E385" s="98">
        <v>21645.42</v>
      </c>
    </row>
    <row r="386" spans="1:5" ht="15" customHeight="1" x14ac:dyDescent="0.25">
      <c r="A386" s="91" t="s">
        <v>216</v>
      </c>
      <c r="B386" s="92">
        <v>2025</v>
      </c>
      <c r="C386" s="93">
        <v>45870</v>
      </c>
      <c r="D386" s="100" t="s">
        <v>73</v>
      </c>
      <c r="E386" s="98">
        <v>633.01</v>
      </c>
    </row>
    <row r="387" spans="1:5" ht="15" customHeight="1" x14ac:dyDescent="0.25">
      <c r="A387" s="91" t="s">
        <v>216</v>
      </c>
      <c r="B387" s="92">
        <v>2025</v>
      </c>
      <c r="C387" s="93">
        <v>45870</v>
      </c>
      <c r="D387" s="100" t="s">
        <v>74</v>
      </c>
      <c r="E387" s="98">
        <v>785.26</v>
      </c>
    </row>
    <row r="388" spans="1:5" ht="15" customHeight="1" x14ac:dyDescent="0.25">
      <c r="A388" s="91" t="s">
        <v>216</v>
      </c>
      <c r="B388" s="92">
        <v>2025</v>
      </c>
      <c r="C388" s="93">
        <v>45870</v>
      </c>
      <c r="D388" s="100" t="s">
        <v>226</v>
      </c>
      <c r="E388" s="98">
        <v>144.12</v>
      </c>
    </row>
    <row r="389" spans="1:5" ht="15" customHeight="1" x14ac:dyDescent="0.25">
      <c r="A389" s="91" t="s">
        <v>216</v>
      </c>
      <c r="B389" s="92">
        <v>2025</v>
      </c>
      <c r="C389" s="93">
        <v>45901</v>
      </c>
      <c r="D389" s="100" t="s">
        <v>218</v>
      </c>
      <c r="E389" s="98">
        <v>126230</v>
      </c>
    </row>
    <row r="390" spans="1:5" ht="15" customHeight="1" x14ac:dyDescent="0.25">
      <c r="A390" s="91" t="s">
        <v>216</v>
      </c>
      <c r="B390" s="92">
        <v>2025</v>
      </c>
      <c r="C390" s="93">
        <v>45901</v>
      </c>
      <c r="D390" s="100" t="s">
        <v>302</v>
      </c>
      <c r="E390" s="98">
        <v>2500</v>
      </c>
    </row>
    <row r="391" spans="1:5" ht="15" customHeight="1" x14ac:dyDescent="0.25">
      <c r="A391" s="91" t="s">
        <v>216</v>
      </c>
      <c r="B391" s="92">
        <v>2025</v>
      </c>
      <c r="C391" s="93">
        <v>45901</v>
      </c>
      <c r="D391" s="100" t="s">
        <v>251</v>
      </c>
      <c r="E391" s="98">
        <v>659.39</v>
      </c>
    </row>
    <row r="392" spans="1:5" ht="15" customHeight="1" x14ac:dyDescent="0.25">
      <c r="A392" s="91" t="s">
        <v>216</v>
      </c>
      <c r="B392" s="92">
        <v>2025</v>
      </c>
      <c r="C392" s="93">
        <v>45901</v>
      </c>
      <c r="D392" s="100" t="s">
        <v>76</v>
      </c>
      <c r="E392" s="98">
        <v>6258.06</v>
      </c>
    </row>
    <row r="393" spans="1:5" ht="15" customHeight="1" x14ac:dyDescent="0.25">
      <c r="A393" s="91" t="s">
        <v>216</v>
      </c>
      <c r="B393" s="92">
        <v>2025</v>
      </c>
      <c r="C393" s="93">
        <v>45901</v>
      </c>
      <c r="D393" s="100" t="s">
        <v>182</v>
      </c>
      <c r="E393" s="98">
        <v>7853.72</v>
      </c>
    </row>
    <row r="394" spans="1:5" ht="15" customHeight="1" x14ac:dyDescent="0.25">
      <c r="A394" s="91" t="s">
        <v>216</v>
      </c>
      <c r="B394" s="92">
        <v>2025</v>
      </c>
      <c r="C394" s="93">
        <v>45901</v>
      </c>
      <c r="D394" s="100" t="s">
        <v>193</v>
      </c>
      <c r="E394" s="98">
        <v>2000</v>
      </c>
    </row>
    <row r="395" spans="1:5" ht="15" customHeight="1" x14ac:dyDescent="0.25">
      <c r="A395" s="91" t="s">
        <v>216</v>
      </c>
      <c r="B395" s="92">
        <v>2025</v>
      </c>
      <c r="C395" s="93">
        <v>45901</v>
      </c>
      <c r="D395" s="100" t="s">
        <v>61</v>
      </c>
      <c r="E395" s="98">
        <v>1518</v>
      </c>
    </row>
    <row r="396" spans="1:5" ht="15" customHeight="1" x14ac:dyDescent="0.25">
      <c r="A396" s="91" t="s">
        <v>216</v>
      </c>
      <c r="B396" s="92">
        <v>2025</v>
      </c>
      <c r="C396" s="93">
        <v>45901</v>
      </c>
      <c r="D396" s="100" t="s">
        <v>259</v>
      </c>
      <c r="E396" s="98">
        <v>14962.61</v>
      </c>
    </row>
    <row r="397" spans="1:5" ht="15" customHeight="1" x14ac:dyDescent="0.25">
      <c r="A397" s="91" t="s">
        <v>216</v>
      </c>
      <c r="B397" s="92">
        <v>2025</v>
      </c>
      <c r="C397" s="93">
        <v>45901</v>
      </c>
      <c r="D397" s="100" t="s">
        <v>63</v>
      </c>
      <c r="E397" s="98">
        <v>896.95</v>
      </c>
    </row>
    <row r="398" spans="1:5" ht="15" customHeight="1" x14ac:dyDescent="0.25">
      <c r="A398" s="91" t="s">
        <v>216</v>
      </c>
      <c r="B398" s="92">
        <v>2025</v>
      </c>
      <c r="C398" s="93">
        <v>45901</v>
      </c>
      <c r="D398" s="100" t="s">
        <v>64</v>
      </c>
      <c r="E398" s="98">
        <v>854.27</v>
      </c>
    </row>
    <row r="399" spans="1:5" ht="15" customHeight="1" x14ac:dyDescent="0.25">
      <c r="A399" s="91" t="s">
        <v>216</v>
      </c>
      <c r="B399" s="92">
        <v>2025</v>
      </c>
      <c r="C399" s="93">
        <v>45901</v>
      </c>
      <c r="D399" s="100" t="s">
        <v>285</v>
      </c>
      <c r="E399" s="98">
        <v>1500</v>
      </c>
    </row>
    <row r="400" spans="1:5" ht="15" customHeight="1" x14ac:dyDescent="0.25">
      <c r="A400" s="91" t="s">
        <v>216</v>
      </c>
      <c r="B400" s="92">
        <v>2025</v>
      </c>
      <c r="C400" s="93">
        <v>45901</v>
      </c>
      <c r="D400" s="100" t="s">
        <v>65</v>
      </c>
      <c r="E400" s="98">
        <v>183</v>
      </c>
    </row>
    <row r="401" spans="1:5" ht="15" customHeight="1" x14ac:dyDescent="0.25">
      <c r="A401" s="91" t="s">
        <v>216</v>
      </c>
      <c r="B401" s="92">
        <v>2025</v>
      </c>
      <c r="C401" s="93">
        <v>45901</v>
      </c>
      <c r="D401" s="100" t="s">
        <v>66</v>
      </c>
      <c r="E401" s="98">
        <v>155.97</v>
      </c>
    </row>
    <row r="402" spans="1:5" ht="15" customHeight="1" x14ac:dyDescent="0.25">
      <c r="A402" s="91" t="s">
        <v>216</v>
      </c>
      <c r="B402" s="92">
        <v>2025</v>
      </c>
      <c r="C402" s="93">
        <v>45901</v>
      </c>
      <c r="D402" s="100" t="s">
        <v>303</v>
      </c>
      <c r="E402" s="98">
        <v>234.6</v>
      </c>
    </row>
    <row r="403" spans="1:5" ht="15" customHeight="1" x14ac:dyDescent="0.25">
      <c r="A403" s="91" t="s">
        <v>216</v>
      </c>
      <c r="B403" s="92">
        <v>2025</v>
      </c>
      <c r="C403" s="93">
        <v>45901</v>
      </c>
      <c r="D403" s="100" t="s">
        <v>67</v>
      </c>
      <c r="E403" s="98">
        <v>595.07000000000005</v>
      </c>
    </row>
    <row r="404" spans="1:5" ht="15" customHeight="1" x14ac:dyDescent="0.25">
      <c r="A404" s="91" t="s">
        <v>216</v>
      </c>
      <c r="B404" s="92">
        <v>2025</v>
      </c>
      <c r="C404" s="93">
        <v>45901</v>
      </c>
      <c r="D404" s="100" t="s">
        <v>68</v>
      </c>
      <c r="E404" s="98">
        <v>17565.919999999998</v>
      </c>
    </row>
    <row r="405" spans="1:5" ht="15" customHeight="1" x14ac:dyDescent="0.25">
      <c r="A405" s="91" t="s">
        <v>216</v>
      </c>
      <c r="B405" s="92">
        <v>2025</v>
      </c>
      <c r="C405" s="93">
        <v>45901</v>
      </c>
      <c r="D405" s="100" t="s">
        <v>269</v>
      </c>
      <c r="E405" s="98">
        <v>1531.38</v>
      </c>
    </row>
    <row r="406" spans="1:5" ht="15" customHeight="1" x14ac:dyDescent="0.25">
      <c r="A406" s="91" t="s">
        <v>216</v>
      </c>
      <c r="B406" s="92">
        <v>2025</v>
      </c>
      <c r="C406" s="93">
        <v>45901</v>
      </c>
      <c r="D406" s="100" t="s">
        <v>69</v>
      </c>
      <c r="E406" s="98">
        <v>41649.879999999997</v>
      </c>
    </row>
    <row r="407" spans="1:5" ht="15" customHeight="1" x14ac:dyDescent="0.25">
      <c r="A407" s="91" t="s">
        <v>216</v>
      </c>
      <c r="B407" s="92">
        <v>2025</v>
      </c>
      <c r="C407" s="93">
        <v>45901</v>
      </c>
      <c r="D407" s="100" t="s">
        <v>180</v>
      </c>
      <c r="E407" s="98">
        <v>3250.03</v>
      </c>
    </row>
    <row r="408" spans="1:5" ht="15" customHeight="1" x14ac:dyDescent="0.25">
      <c r="A408" s="91" t="s">
        <v>216</v>
      </c>
      <c r="B408" s="92">
        <v>2025</v>
      </c>
      <c r="C408" s="93">
        <v>45901</v>
      </c>
      <c r="D408" s="100" t="s">
        <v>272</v>
      </c>
      <c r="E408" s="98">
        <v>397.05</v>
      </c>
    </row>
    <row r="409" spans="1:5" ht="15" customHeight="1" x14ac:dyDescent="0.25">
      <c r="A409" s="91" t="s">
        <v>216</v>
      </c>
      <c r="B409" s="92">
        <v>2025</v>
      </c>
      <c r="C409" s="93">
        <v>45901</v>
      </c>
      <c r="D409" s="100" t="s">
        <v>232</v>
      </c>
      <c r="E409" s="98">
        <v>500</v>
      </c>
    </row>
    <row r="410" spans="1:5" ht="15" customHeight="1" x14ac:dyDescent="0.25">
      <c r="A410" s="91" t="s">
        <v>216</v>
      </c>
      <c r="B410" s="92">
        <v>2025</v>
      </c>
      <c r="C410" s="93">
        <v>45901</v>
      </c>
      <c r="D410" s="100" t="s">
        <v>194</v>
      </c>
      <c r="E410" s="98">
        <v>5152.5600000000004</v>
      </c>
    </row>
    <row r="411" spans="1:5" ht="15" customHeight="1" x14ac:dyDescent="0.25">
      <c r="A411" s="91" t="s">
        <v>216</v>
      </c>
      <c r="B411" s="92">
        <v>2025</v>
      </c>
      <c r="C411" s="93">
        <v>45901</v>
      </c>
      <c r="D411" s="100" t="s">
        <v>70</v>
      </c>
      <c r="E411" s="98">
        <v>252.21</v>
      </c>
    </row>
    <row r="412" spans="1:5" ht="15" customHeight="1" x14ac:dyDescent="0.25">
      <c r="A412" s="91" t="s">
        <v>216</v>
      </c>
      <c r="B412" s="92">
        <v>2025</v>
      </c>
      <c r="C412" s="93">
        <v>45901</v>
      </c>
      <c r="D412" s="100" t="s">
        <v>220</v>
      </c>
      <c r="E412" s="98">
        <v>3005.72</v>
      </c>
    </row>
    <row r="413" spans="1:5" ht="15" customHeight="1" x14ac:dyDescent="0.25">
      <c r="A413" s="91" t="s">
        <v>216</v>
      </c>
      <c r="B413" s="92">
        <v>2025</v>
      </c>
      <c r="C413" s="93">
        <v>45901</v>
      </c>
      <c r="D413" s="100" t="s">
        <v>71</v>
      </c>
      <c r="E413" s="98">
        <v>24415.98</v>
      </c>
    </row>
    <row r="414" spans="1:5" ht="15" customHeight="1" x14ac:dyDescent="0.25">
      <c r="A414" s="91" t="s">
        <v>216</v>
      </c>
      <c r="B414" s="92">
        <v>2025</v>
      </c>
      <c r="C414" s="93">
        <v>45901</v>
      </c>
      <c r="D414" s="100" t="s">
        <v>73</v>
      </c>
      <c r="E414" s="98">
        <v>633.01</v>
      </c>
    </row>
    <row r="415" spans="1:5" ht="15" customHeight="1" x14ac:dyDescent="0.25">
      <c r="A415" s="91" t="s">
        <v>216</v>
      </c>
      <c r="B415" s="92">
        <v>2025</v>
      </c>
      <c r="C415" s="93">
        <v>45901</v>
      </c>
      <c r="D415" s="100" t="s">
        <v>74</v>
      </c>
      <c r="E415" s="98">
        <v>1319.54</v>
      </c>
    </row>
    <row r="416" spans="1:5" ht="15" customHeight="1" x14ac:dyDescent="0.25">
      <c r="A416" s="91" t="s">
        <v>216</v>
      </c>
      <c r="B416" s="92">
        <v>2025</v>
      </c>
      <c r="C416" s="93">
        <v>45901</v>
      </c>
      <c r="D416" s="100" t="s">
        <v>224</v>
      </c>
      <c r="E416" s="98">
        <v>2266.36</v>
      </c>
    </row>
    <row r="417" spans="1:5" ht="15" customHeight="1" x14ac:dyDescent="0.25">
      <c r="A417" s="91" t="s">
        <v>216</v>
      </c>
      <c r="B417" s="92">
        <v>2025</v>
      </c>
      <c r="C417" s="93">
        <v>45901</v>
      </c>
      <c r="D417" s="100" t="s">
        <v>226</v>
      </c>
      <c r="E417" s="98">
        <v>144.36000000000001</v>
      </c>
    </row>
    <row r="418" spans="1:5" ht="15" customHeight="1" x14ac:dyDescent="0.25">
      <c r="A418" s="91" t="s">
        <v>216</v>
      </c>
      <c r="B418" s="92">
        <v>2025</v>
      </c>
      <c r="C418" s="93">
        <v>45931</v>
      </c>
      <c r="D418" s="100" t="s">
        <v>60</v>
      </c>
      <c r="E418" s="98">
        <v>40.28</v>
      </c>
    </row>
    <row r="419" spans="1:5" ht="15" customHeight="1" x14ac:dyDescent="0.25">
      <c r="A419" s="91" t="s">
        <v>216</v>
      </c>
      <c r="B419" s="92">
        <v>2025</v>
      </c>
      <c r="C419" s="93">
        <v>45931</v>
      </c>
      <c r="D419" s="100" t="s">
        <v>182</v>
      </c>
      <c r="E419" s="98">
        <v>2883.24</v>
      </c>
    </row>
    <row r="420" spans="1:5" ht="15" customHeight="1" x14ac:dyDescent="0.25">
      <c r="A420" s="91" t="s">
        <v>216</v>
      </c>
      <c r="B420" s="92">
        <v>2025</v>
      </c>
      <c r="C420" s="93">
        <v>45931</v>
      </c>
      <c r="D420" s="100" t="s">
        <v>71</v>
      </c>
      <c r="E420" s="98">
        <v>10000</v>
      </c>
    </row>
    <row r="421" spans="1:5" ht="15" customHeight="1" x14ac:dyDescent="0.25">
      <c r="A421" s="91" t="s">
        <v>216</v>
      </c>
      <c r="B421" s="92">
        <v>2025</v>
      </c>
      <c r="C421" s="93">
        <v>45931</v>
      </c>
      <c r="D421" s="100" t="s">
        <v>73</v>
      </c>
      <c r="E421" s="98">
        <v>633.01</v>
      </c>
    </row>
    <row r="422" spans="1:5" ht="15" customHeight="1" x14ac:dyDescent="0.25">
      <c r="A422" s="91" t="s">
        <v>216</v>
      </c>
      <c r="B422" s="92">
        <v>2025</v>
      </c>
      <c r="C422" s="93">
        <v>45931</v>
      </c>
      <c r="D422" s="100" t="s">
        <v>74</v>
      </c>
      <c r="E422" s="98">
        <v>276.64</v>
      </c>
    </row>
    <row r="423" spans="1:5" ht="15" customHeight="1" x14ac:dyDescent="0.25">
      <c r="A423" s="91" t="s">
        <v>216</v>
      </c>
      <c r="B423" s="92">
        <v>2025</v>
      </c>
      <c r="C423" s="93">
        <v>45962</v>
      </c>
      <c r="D423" s="100" t="s">
        <v>217</v>
      </c>
      <c r="E423" s="98">
        <v>498.42</v>
      </c>
    </row>
    <row r="424" spans="1:5" ht="15" customHeight="1" x14ac:dyDescent="0.25">
      <c r="A424" s="91" t="s">
        <v>216</v>
      </c>
      <c r="B424" s="92">
        <v>2025</v>
      </c>
      <c r="C424" s="93">
        <v>45962</v>
      </c>
      <c r="D424" s="100" t="s">
        <v>302</v>
      </c>
      <c r="E424" s="98">
        <v>2500</v>
      </c>
    </row>
    <row r="425" spans="1:5" ht="15" customHeight="1" x14ac:dyDescent="0.25">
      <c r="A425" s="91" t="s">
        <v>216</v>
      </c>
      <c r="B425" s="92">
        <v>2025</v>
      </c>
      <c r="C425" s="93">
        <v>45962</v>
      </c>
      <c r="D425" s="100" t="s">
        <v>191</v>
      </c>
      <c r="E425" s="98">
        <v>1472</v>
      </c>
    </row>
    <row r="426" spans="1:5" ht="15" customHeight="1" x14ac:dyDescent="0.25">
      <c r="A426" s="91" t="s">
        <v>216</v>
      </c>
      <c r="B426" s="92">
        <v>2025</v>
      </c>
      <c r="C426" s="93">
        <v>45962</v>
      </c>
      <c r="D426" s="100" t="s">
        <v>75</v>
      </c>
      <c r="E426" s="98">
        <v>190</v>
      </c>
    </row>
    <row r="427" spans="1:5" ht="15" customHeight="1" x14ac:dyDescent="0.25">
      <c r="A427" s="91" t="s">
        <v>216</v>
      </c>
      <c r="B427" s="92">
        <v>2025</v>
      </c>
      <c r="C427" s="93">
        <v>45962</v>
      </c>
      <c r="D427" s="100" t="s">
        <v>192</v>
      </c>
      <c r="E427" s="98">
        <v>53978.5</v>
      </c>
    </row>
    <row r="428" spans="1:5" ht="15" customHeight="1" x14ac:dyDescent="0.25">
      <c r="A428" s="91" t="s">
        <v>216</v>
      </c>
      <c r="B428" s="92">
        <v>2025</v>
      </c>
      <c r="C428" s="93">
        <v>45962</v>
      </c>
      <c r="D428" s="100" t="s">
        <v>58</v>
      </c>
      <c r="E428" s="98">
        <v>2411.27</v>
      </c>
    </row>
    <row r="429" spans="1:5" ht="15" customHeight="1" x14ac:dyDescent="0.25">
      <c r="A429" s="91" t="s">
        <v>216</v>
      </c>
      <c r="B429" s="92">
        <v>2025</v>
      </c>
      <c r="C429" s="93">
        <v>45962</v>
      </c>
      <c r="D429" s="100" t="s">
        <v>251</v>
      </c>
      <c r="E429" s="98">
        <v>32.99</v>
      </c>
    </row>
    <row r="430" spans="1:5" ht="15" customHeight="1" x14ac:dyDescent="0.25">
      <c r="A430" s="91" t="s">
        <v>216</v>
      </c>
      <c r="B430" s="92">
        <v>2025</v>
      </c>
      <c r="C430" s="93">
        <v>45962</v>
      </c>
      <c r="D430" s="100" t="s">
        <v>333</v>
      </c>
      <c r="E430" s="98">
        <v>563.1</v>
      </c>
    </row>
    <row r="431" spans="1:5" ht="15" customHeight="1" x14ac:dyDescent="0.25">
      <c r="A431" s="91" t="s">
        <v>216</v>
      </c>
      <c r="B431" s="92">
        <v>2025</v>
      </c>
      <c r="C431" s="93">
        <v>45962</v>
      </c>
      <c r="D431" s="100" t="s">
        <v>198</v>
      </c>
      <c r="E431" s="98">
        <v>1735.43</v>
      </c>
    </row>
    <row r="432" spans="1:5" ht="15" customHeight="1" x14ac:dyDescent="0.25">
      <c r="A432" s="91" t="s">
        <v>216</v>
      </c>
      <c r="B432" s="92">
        <v>2025</v>
      </c>
      <c r="C432" s="93">
        <v>45962</v>
      </c>
      <c r="D432" s="100" t="s">
        <v>76</v>
      </c>
      <c r="E432" s="98">
        <v>200</v>
      </c>
    </row>
    <row r="433" spans="1:5" ht="15" customHeight="1" x14ac:dyDescent="0.25">
      <c r="A433" s="91" t="s">
        <v>216</v>
      </c>
      <c r="B433" s="92">
        <v>2025</v>
      </c>
      <c r="C433" s="93">
        <v>45962</v>
      </c>
      <c r="D433" s="100" t="s">
        <v>57</v>
      </c>
      <c r="E433" s="98">
        <v>1680</v>
      </c>
    </row>
    <row r="434" spans="1:5" ht="15" customHeight="1" x14ac:dyDescent="0.25">
      <c r="A434" s="91" t="s">
        <v>216</v>
      </c>
      <c r="B434" s="92">
        <v>2025</v>
      </c>
      <c r="C434" s="93">
        <v>45962</v>
      </c>
      <c r="D434" s="100" t="s">
        <v>182</v>
      </c>
      <c r="E434" s="98">
        <v>11399.77</v>
      </c>
    </row>
    <row r="435" spans="1:5" ht="15" customHeight="1" x14ac:dyDescent="0.25">
      <c r="A435" s="91" t="s">
        <v>216</v>
      </c>
      <c r="B435" s="92">
        <v>2025</v>
      </c>
      <c r="C435" s="93">
        <v>45962</v>
      </c>
      <c r="D435" s="100" t="s">
        <v>61</v>
      </c>
      <c r="E435" s="98">
        <v>41518</v>
      </c>
    </row>
    <row r="436" spans="1:5" ht="15" customHeight="1" x14ac:dyDescent="0.25">
      <c r="A436" s="91" t="s">
        <v>216</v>
      </c>
      <c r="B436" s="92">
        <v>2025</v>
      </c>
      <c r="C436" s="93">
        <v>45962</v>
      </c>
      <c r="D436" s="100" t="s">
        <v>219</v>
      </c>
      <c r="E436" s="98">
        <v>7614.54</v>
      </c>
    </row>
    <row r="437" spans="1:5" ht="15" customHeight="1" x14ac:dyDescent="0.25">
      <c r="A437" s="91" t="s">
        <v>216</v>
      </c>
      <c r="B437" s="92">
        <v>2025</v>
      </c>
      <c r="C437" s="93">
        <v>45962</v>
      </c>
      <c r="D437" s="100" t="s">
        <v>259</v>
      </c>
      <c r="E437" s="98">
        <v>6214.55</v>
      </c>
    </row>
    <row r="438" spans="1:5" ht="15" customHeight="1" x14ac:dyDescent="0.25">
      <c r="A438" s="91" t="s">
        <v>216</v>
      </c>
      <c r="B438" s="92">
        <v>2025</v>
      </c>
      <c r="C438" s="93">
        <v>45962</v>
      </c>
      <c r="D438" s="100" t="s">
        <v>63</v>
      </c>
      <c r="E438" s="98">
        <v>896.95</v>
      </c>
    </row>
    <row r="439" spans="1:5" ht="15" customHeight="1" x14ac:dyDescent="0.25">
      <c r="A439" s="91" t="s">
        <v>216</v>
      </c>
      <c r="B439" s="92">
        <v>2025</v>
      </c>
      <c r="C439" s="93">
        <v>45962</v>
      </c>
      <c r="D439" s="100" t="s">
        <v>64</v>
      </c>
      <c r="E439" s="98">
        <v>806</v>
      </c>
    </row>
    <row r="440" spans="1:5" ht="15" customHeight="1" x14ac:dyDescent="0.25">
      <c r="A440" s="91" t="s">
        <v>216</v>
      </c>
      <c r="B440" s="92">
        <v>2025</v>
      </c>
      <c r="C440" s="93">
        <v>45962</v>
      </c>
      <c r="D440" s="100" t="s">
        <v>285</v>
      </c>
      <c r="E440" s="98">
        <v>4298.26</v>
      </c>
    </row>
    <row r="441" spans="1:5" ht="15" customHeight="1" x14ac:dyDescent="0.25">
      <c r="A441" s="91" t="s">
        <v>216</v>
      </c>
      <c r="B441" s="92">
        <v>2025</v>
      </c>
      <c r="C441" s="93">
        <v>45962</v>
      </c>
      <c r="D441" s="100" t="s">
        <v>65</v>
      </c>
      <c r="E441" s="98">
        <v>183</v>
      </c>
    </row>
    <row r="442" spans="1:5" ht="15" customHeight="1" x14ac:dyDescent="0.25">
      <c r="A442" s="91" t="s">
        <v>216</v>
      </c>
      <c r="B442" s="92">
        <v>2025</v>
      </c>
      <c r="C442" s="93">
        <v>45962</v>
      </c>
      <c r="D442" s="100" t="s">
        <v>66</v>
      </c>
      <c r="E442" s="98">
        <v>31716.87</v>
      </c>
    </row>
    <row r="443" spans="1:5" ht="15" customHeight="1" x14ac:dyDescent="0.25">
      <c r="A443" s="91" t="s">
        <v>216</v>
      </c>
      <c r="B443" s="92">
        <v>2025</v>
      </c>
      <c r="C443" s="93">
        <v>45962</v>
      </c>
      <c r="D443" s="100" t="s">
        <v>67</v>
      </c>
      <c r="E443" s="98">
        <v>674.54</v>
      </c>
    </row>
    <row r="444" spans="1:5" ht="15" customHeight="1" x14ac:dyDescent="0.25">
      <c r="A444" s="91" t="s">
        <v>216</v>
      </c>
      <c r="B444" s="92">
        <v>2025</v>
      </c>
      <c r="C444" s="93">
        <v>45962</v>
      </c>
      <c r="D444" s="100" t="s">
        <v>68</v>
      </c>
      <c r="E444" s="98">
        <v>5854.19</v>
      </c>
    </row>
    <row r="445" spans="1:5" ht="15" customHeight="1" x14ac:dyDescent="0.25">
      <c r="A445" s="91" t="s">
        <v>216</v>
      </c>
      <c r="B445" s="92">
        <v>2025</v>
      </c>
      <c r="C445" s="93">
        <v>45962</v>
      </c>
      <c r="D445" s="100" t="s">
        <v>269</v>
      </c>
      <c r="E445" s="98">
        <v>374.31</v>
      </c>
    </row>
    <row r="446" spans="1:5" ht="15" customHeight="1" x14ac:dyDescent="0.25">
      <c r="A446" s="91" t="s">
        <v>216</v>
      </c>
      <c r="B446" s="92">
        <v>2025</v>
      </c>
      <c r="C446" s="93">
        <v>45962</v>
      </c>
      <c r="D446" s="100" t="s">
        <v>69</v>
      </c>
      <c r="E446" s="98">
        <v>38097.33</v>
      </c>
    </row>
    <row r="447" spans="1:5" ht="15" customHeight="1" x14ac:dyDescent="0.25">
      <c r="A447" s="91" t="s">
        <v>216</v>
      </c>
      <c r="B447" s="92">
        <v>2025</v>
      </c>
      <c r="C447" s="93">
        <v>45962</v>
      </c>
      <c r="D447" s="100" t="s">
        <v>180</v>
      </c>
      <c r="E447" s="98">
        <v>2918.25</v>
      </c>
    </row>
    <row r="448" spans="1:5" ht="15" customHeight="1" x14ac:dyDescent="0.25">
      <c r="A448" s="91" t="s">
        <v>216</v>
      </c>
      <c r="B448" s="92">
        <v>2025</v>
      </c>
      <c r="C448" s="93">
        <v>45962</v>
      </c>
      <c r="D448" s="100" t="s">
        <v>232</v>
      </c>
      <c r="E448" s="98">
        <v>500</v>
      </c>
    </row>
    <row r="449" spans="1:5" ht="15" customHeight="1" x14ac:dyDescent="0.25">
      <c r="A449" s="91" t="s">
        <v>216</v>
      </c>
      <c r="B449" s="92">
        <v>2025</v>
      </c>
      <c r="C449" s="93">
        <v>45962</v>
      </c>
      <c r="D449" s="100" t="s">
        <v>220</v>
      </c>
      <c r="E449" s="98">
        <v>3044.7</v>
      </c>
    </row>
    <row r="450" spans="1:5" ht="15" customHeight="1" x14ac:dyDescent="0.25">
      <c r="A450" s="91" t="s">
        <v>216</v>
      </c>
      <c r="B450" s="92">
        <v>2025</v>
      </c>
      <c r="C450" s="93">
        <v>45962</v>
      </c>
      <c r="D450" s="100" t="s">
        <v>71</v>
      </c>
      <c r="E450" s="98">
        <v>44646.84</v>
      </c>
    </row>
    <row r="451" spans="1:5" ht="15" customHeight="1" x14ac:dyDescent="0.25">
      <c r="A451" s="91" t="s">
        <v>216</v>
      </c>
      <c r="B451" s="92">
        <v>2025</v>
      </c>
      <c r="C451" s="93">
        <v>45962</v>
      </c>
      <c r="D451" s="100" t="s">
        <v>72</v>
      </c>
      <c r="E451" s="98">
        <v>76</v>
      </c>
    </row>
    <row r="452" spans="1:5" ht="15" customHeight="1" x14ac:dyDescent="0.25">
      <c r="A452" s="91" t="s">
        <v>216</v>
      </c>
      <c r="B452" s="92">
        <v>2025</v>
      </c>
      <c r="C452" s="93">
        <v>45962</v>
      </c>
      <c r="D452" s="100" t="s">
        <v>223</v>
      </c>
      <c r="E452" s="98">
        <v>1067.5999999999999</v>
      </c>
    </row>
    <row r="453" spans="1:5" ht="15" customHeight="1" x14ac:dyDescent="0.25">
      <c r="A453" s="91" t="s">
        <v>216</v>
      </c>
      <c r="B453" s="92">
        <v>2025</v>
      </c>
      <c r="C453" s="93">
        <v>45962</v>
      </c>
      <c r="D453" s="100" t="s">
        <v>334</v>
      </c>
      <c r="E453" s="98">
        <v>2547.5500000000002</v>
      </c>
    </row>
    <row r="454" spans="1:5" ht="15" customHeight="1" x14ac:dyDescent="0.25">
      <c r="A454" s="91" t="s">
        <v>216</v>
      </c>
      <c r="B454" s="92">
        <v>2025</v>
      </c>
      <c r="C454" s="93">
        <v>45962</v>
      </c>
      <c r="D454" s="100" t="s">
        <v>73</v>
      </c>
      <c r="E454" s="98">
        <v>633.01</v>
      </c>
    </row>
    <row r="455" spans="1:5" ht="15" customHeight="1" x14ac:dyDescent="0.25">
      <c r="A455" s="91" t="s">
        <v>216</v>
      </c>
      <c r="B455" s="92">
        <v>2025</v>
      </c>
      <c r="C455" s="93">
        <v>45962</v>
      </c>
      <c r="D455" s="100" t="s">
        <v>74</v>
      </c>
      <c r="E455" s="98">
        <v>19658.38</v>
      </c>
    </row>
    <row r="456" spans="1:5" ht="15" customHeight="1" x14ac:dyDescent="0.25">
      <c r="A456" s="91" t="s">
        <v>216</v>
      </c>
      <c r="B456" s="92">
        <v>2025</v>
      </c>
      <c r="C456" s="93">
        <v>45962</v>
      </c>
      <c r="D456" s="100" t="s">
        <v>224</v>
      </c>
      <c r="E456" s="98">
        <v>1270</v>
      </c>
    </row>
    <row r="457" spans="1:5" ht="15" customHeight="1" x14ac:dyDescent="0.25">
      <c r="A457" s="91" t="s">
        <v>216</v>
      </c>
      <c r="B457" s="92">
        <v>2025</v>
      </c>
      <c r="C457" s="93">
        <v>45992</v>
      </c>
      <c r="D457" s="100" t="s">
        <v>217</v>
      </c>
      <c r="E457" s="98">
        <v>314.7</v>
      </c>
    </row>
    <row r="458" spans="1:5" ht="15" customHeight="1" x14ac:dyDescent="0.25">
      <c r="A458" s="91" t="s">
        <v>216</v>
      </c>
      <c r="B458" s="92">
        <v>2025</v>
      </c>
      <c r="C458" s="93">
        <v>45992</v>
      </c>
      <c r="D458" s="100" t="s">
        <v>218</v>
      </c>
      <c r="E458" s="98">
        <v>1890</v>
      </c>
    </row>
    <row r="459" spans="1:5" ht="15" customHeight="1" x14ac:dyDescent="0.25">
      <c r="A459" s="91" t="s">
        <v>216</v>
      </c>
      <c r="B459" s="92">
        <v>2025</v>
      </c>
      <c r="C459" s="93">
        <v>45992</v>
      </c>
      <c r="D459" s="100" t="s">
        <v>302</v>
      </c>
      <c r="E459" s="98">
        <v>2500</v>
      </c>
    </row>
    <row r="460" spans="1:5" ht="15" customHeight="1" x14ac:dyDescent="0.25">
      <c r="A460" s="91" t="s">
        <v>216</v>
      </c>
      <c r="B460" s="92">
        <v>2025</v>
      </c>
      <c r="C460" s="93">
        <v>45992</v>
      </c>
      <c r="D460" s="100" t="s">
        <v>191</v>
      </c>
      <c r="E460" s="98">
        <v>2078.63</v>
      </c>
    </row>
    <row r="461" spans="1:5" ht="15" customHeight="1" x14ac:dyDescent="0.25">
      <c r="A461" s="91" t="s">
        <v>216</v>
      </c>
      <c r="B461" s="92">
        <v>2025</v>
      </c>
      <c r="C461" s="93">
        <v>45992</v>
      </c>
      <c r="D461" s="100" t="s">
        <v>58</v>
      </c>
      <c r="E461" s="98">
        <v>691.26</v>
      </c>
    </row>
    <row r="462" spans="1:5" ht="15" customHeight="1" x14ac:dyDescent="0.25">
      <c r="A462" s="91" t="s">
        <v>216</v>
      </c>
      <c r="B462" s="92">
        <v>2025</v>
      </c>
      <c r="C462" s="93">
        <v>45992</v>
      </c>
      <c r="D462" s="100" t="s">
        <v>333</v>
      </c>
      <c r="E462" s="98">
        <v>2203.17</v>
      </c>
    </row>
    <row r="463" spans="1:5" ht="15" customHeight="1" x14ac:dyDescent="0.25">
      <c r="A463" s="91" t="s">
        <v>216</v>
      </c>
      <c r="B463" s="92">
        <v>2025</v>
      </c>
      <c r="C463" s="93">
        <v>45992</v>
      </c>
      <c r="D463" s="100" t="s">
        <v>76</v>
      </c>
      <c r="E463" s="98">
        <v>4209.05</v>
      </c>
    </row>
    <row r="464" spans="1:5" ht="15" customHeight="1" x14ac:dyDescent="0.25">
      <c r="A464" s="91" t="s">
        <v>216</v>
      </c>
      <c r="B464" s="92">
        <v>2025</v>
      </c>
      <c r="C464" s="93">
        <v>45992</v>
      </c>
      <c r="D464" s="100" t="s">
        <v>57</v>
      </c>
      <c r="E464" s="98">
        <v>25196.25</v>
      </c>
    </row>
    <row r="465" spans="1:5" ht="15" customHeight="1" x14ac:dyDescent="0.25">
      <c r="A465" s="91" t="s">
        <v>216</v>
      </c>
      <c r="B465" s="92">
        <v>2025</v>
      </c>
      <c r="C465" s="93">
        <v>45992</v>
      </c>
      <c r="D465" s="100" t="s">
        <v>60</v>
      </c>
      <c r="E465" s="98">
        <v>88.72</v>
      </c>
    </row>
    <row r="466" spans="1:5" ht="15" customHeight="1" x14ac:dyDescent="0.25">
      <c r="A466" s="91" t="s">
        <v>216</v>
      </c>
      <c r="B466" s="92">
        <v>2025</v>
      </c>
      <c r="C466" s="93">
        <v>45992</v>
      </c>
      <c r="D466" s="100" t="s">
        <v>341</v>
      </c>
      <c r="E466" s="98">
        <v>13800</v>
      </c>
    </row>
    <row r="467" spans="1:5" ht="15" customHeight="1" x14ac:dyDescent="0.25">
      <c r="A467" s="91" t="s">
        <v>216</v>
      </c>
      <c r="B467" s="92">
        <v>2025</v>
      </c>
      <c r="C467" s="93">
        <v>45992</v>
      </c>
      <c r="D467" s="100" t="s">
        <v>342</v>
      </c>
      <c r="E467" s="98">
        <v>3060</v>
      </c>
    </row>
    <row r="468" spans="1:5" ht="15" customHeight="1" x14ac:dyDescent="0.25">
      <c r="A468" s="91" t="s">
        <v>216</v>
      </c>
      <c r="B468" s="92">
        <v>2025</v>
      </c>
      <c r="C468" s="93">
        <v>45992</v>
      </c>
      <c r="D468" s="100" t="s">
        <v>182</v>
      </c>
      <c r="E468" s="98">
        <v>41274.730000000003</v>
      </c>
    </row>
    <row r="469" spans="1:5" ht="15" customHeight="1" x14ac:dyDescent="0.25">
      <c r="A469" s="91" t="s">
        <v>216</v>
      </c>
      <c r="B469" s="92">
        <v>2025</v>
      </c>
      <c r="C469" s="93">
        <v>45992</v>
      </c>
      <c r="D469" s="100" t="s">
        <v>343</v>
      </c>
      <c r="E469" s="98">
        <v>1700</v>
      </c>
    </row>
    <row r="470" spans="1:5" ht="15" customHeight="1" x14ac:dyDescent="0.25">
      <c r="A470" s="91" t="s">
        <v>216</v>
      </c>
      <c r="B470" s="92">
        <v>2025</v>
      </c>
      <c r="C470" s="93">
        <v>45992</v>
      </c>
      <c r="D470" s="100" t="s">
        <v>61</v>
      </c>
      <c r="E470" s="98">
        <v>1518</v>
      </c>
    </row>
    <row r="471" spans="1:5" ht="15" customHeight="1" x14ac:dyDescent="0.25">
      <c r="A471" s="91" t="s">
        <v>216</v>
      </c>
      <c r="B471" s="92">
        <v>2025</v>
      </c>
      <c r="C471" s="93">
        <v>45992</v>
      </c>
      <c r="D471" s="100" t="s">
        <v>219</v>
      </c>
      <c r="E471" s="98">
        <v>5041.32</v>
      </c>
    </row>
    <row r="472" spans="1:5" ht="15" customHeight="1" x14ac:dyDescent="0.25">
      <c r="A472" s="91" t="s">
        <v>216</v>
      </c>
      <c r="B472" s="92">
        <v>2025</v>
      </c>
      <c r="C472" s="93">
        <v>45992</v>
      </c>
      <c r="D472" s="100" t="s">
        <v>62</v>
      </c>
      <c r="E472" s="98">
        <v>969.5</v>
      </c>
    </row>
    <row r="473" spans="1:5" ht="15" customHeight="1" x14ac:dyDescent="0.25">
      <c r="A473" s="91" t="s">
        <v>216</v>
      </c>
      <c r="B473" s="92">
        <v>2025</v>
      </c>
      <c r="C473" s="93">
        <v>45992</v>
      </c>
      <c r="D473" s="100" t="s">
        <v>259</v>
      </c>
      <c r="E473" s="98">
        <v>23802.69</v>
      </c>
    </row>
    <row r="474" spans="1:5" ht="15" customHeight="1" x14ac:dyDescent="0.25">
      <c r="A474" s="91" t="s">
        <v>216</v>
      </c>
      <c r="B474" s="92">
        <v>2025</v>
      </c>
      <c r="C474" s="93">
        <v>45992</v>
      </c>
      <c r="D474" s="100" t="s">
        <v>63</v>
      </c>
      <c r="E474" s="98">
        <v>896.95</v>
      </c>
    </row>
    <row r="475" spans="1:5" ht="15" customHeight="1" x14ac:dyDescent="0.25">
      <c r="A475" s="91" t="s">
        <v>216</v>
      </c>
      <c r="B475" s="92">
        <v>2025</v>
      </c>
      <c r="C475" s="93">
        <v>45992</v>
      </c>
      <c r="D475" s="100" t="s">
        <v>64</v>
      </c>
      <c r="E475" s="98">
        <v>806</v>
      </c>
    </row>
    <row r="476" spans="1:5" ht="15" customHeight="1" x14ac:dyDescent="0.25">
      <c r="A476" s="91" t="s">
        <v>216</v>
      </c>
      <c r="B476" s="92">
        <v>2025</v>
      </c>
      <c r="C476" s="93">
        <v>45992</v>
      </c>
      <c r="D476" s="100" t="s">
        <v>285</v>
      </c>
      <c r="E476" s="98">
        <v>8752.36</v>
      </c>
    </row>
    <row r="477" spans="1:5" ht="15" customHeight="1" x14ac:dyDescent="0.25">
      <c r="A477" s="91" t="s">
        <v>216</v>
      </c>
      <c r="B477" s="92">
        <v>2025</v>
      </c>
      <c r="C477" s="93">
        <v>45992</v>
      </c>
      <c r="D477" s="100" t="s">
        <v>65</v>
      </c>
      <c r="E477" s="98">
        <v>183</v>
      </c>
    </row>
    <row r="478" spans="1:5" ht="15" customHeight="1" x14ac:dyDescent="0.25">
      <c r="A478" s="91" t="s">
        <v>216</v>
      </c>
      <c r="B478" s="92">
        <v>2025</v>
      </c>
      <c r="C478" s="93">
        <v>45992</v>
      </c>
      <c r="D478" s="100" t="s">
        <v>66</v>
      </c>
      <c r="E478" s="98">
        <v>533.9</v>
      </c>
    </row>
    <row r="479" spans="1:5" ht="15" customHeight="1" x14ac:dyDescent="0.25">
      <c r="A479" s="91" t="s">
        <v>216</v>
      </c>
      <c r="B479" s="92">
        <v>2025</v>
      </c>
      <c r="C479" s="93">
        <v>45992</v>
      </c>
      <c r="D479" s="100" t="s">
        <v>67</v>
      </c>
      <c r="E479" s="98">
        <v>677.37</v>
      </c>
    </row>
    <row r="480" spans="1:5" ht="15" customHeight="1" x14ac:dyDescent="0.25">
      <c r="A480" s="91" t="s">
        <v>216</v>
      </c>
      <c r="B480" s="92">
        <v>2025</v>
      </c>
      <c r="C480" s="93">
        <v>45992</v>
      </c>
      <c r="D480" s="100" t="s">
        <v>68</v>
      </c>
      <c r="E480" s="98">
        <v>96.87</v>
      </c>
    </row>
    <row r="481" spans="1:5" ht="15" customHeight="1" x14ac:dyDescent="0.25">
      <c r="A481" s="91" t="s">
        <v>216</v>
      </c>
      <c r="B481" s="92">
        <v>2025</v>
      </c>
      <c r="C481" s="93">
        <v>45992</v>
      </c>
      <c r="D481" s="100" t="s">
        <v>69</v>
      </c>
      <c r="E481" s="98">
        <v>35560.480000000003</v>
      </c>
    </row>
    <row r="482" spans="1:5" ht="15" customHeight="1" x14ac:dyDescent="0.25">
      <c r="A482" s="91" t="s">
        <v>216</v>
      </c>
      <c r="B482" s="92">
        <v>2025</v>
      </c>
      <c r="C482" s="93">
        <v>45992</v>
      </c>
      <c r="D482" s="100" t="s">
        <v>78</v>
      </c>
      <c r="E482" s="98">
        <v>74.180000000000007</v>
      </c>
    </row>
    <row r="483" spans="1:5" ht="15" customHeight="1" x14ac:dyDescent="0.25">
      <c r="A483" s="91" t="s">
        <v>216</v>
      </c>
      <c r="B483" s="92">
        <v>2025</v>
      </c>
      <c r="C483" s="93">
        <v>45992</v>
      </c>
      <c r="D483" s="100" t="s">
        <v>180</v>
      </c>
      <c r="E483" s="98">
        <v>2899.4</v>
      </c>
    </row>
    <row r="484" spans="1:5" ht="15" customHeight="1" x14ac:dyDescent="0.25">
      <c r="A484" s="91" t="s">
        <v>216</v>
      </c>
      <c r="B484" s="92">
        <v>2025</v>
      </c>
      <c r="C484" s="93">
        <v>45992</v>
      </c>
      <c r="D484" s="100" t="s">
        <v>272</v>
      </c>
      <c r="E484" s="98">
        <v>6.69</v>
      </c>
    </row>
    <row r="485" spans="1:5" ht="15" customHeight="1" x14ac:dyDescent="0.25">
      <c r="A485" s="91" t="s">
        <v>216</v>
      </c>
      <c r="B485" s="92">
        <v>2025</v>
      </c>
      <c r="C485" s="93">
        <v>45992</v>
      </c>
      <c r="D485" s="100" t="s">
        <v>232</v>
      </c>
      <c r="E485" s="98">
        <v>500</v>
      </c>
    </row>
    <row r="486" spans="1:5" ht="15" customHeight="1" x14ac:dyDescent="0.25">
      <c r="A486" s="91" t="s">
        <v>216</v>
      </c>
      <c r="B486" s="92">
        <v>2025</v>
      </c>
      <c r="C486" s="93">
        <v>45992</v>
      </c>
      <c r="D486" s="100" t="s">
        <v>220</v>
      </c>
      <c r="E486" s="98">
        <v>3061.08</v>
      </c>
    </row>
    <row r="487" spans="1:5" ht="15" customHeight="1" x14ac:dyDescent="0.25">
      <c r="A487" s="91" t="s">
        <v>216</v>
      </c>
      <c r="B487" s="92">
        <v>2025</v>
      </c>
      <c r="C487" s="93">
        <v>45992</v>
      </c>
      <c r="D487" s="100" t="s">
        <v>71</v>
      </c>
      <c r="E487" s="98">
        <v>27586.240000000002</v>
      </c>
    </row>
    <row r="488" spans="1:5" ht="15" customHeight="1" x14ac:dyDescent="0.25">
      <c r="A488" s="91" t="s">
        <v>216</v>
      </c>
      <c r="B488" s="92">
        <v>2025</v>
      </c>
      <c r="C488" s="93">
        <v>45992</v>
      </c>
      <c r="D488" s="100" t="s">
        <v>344</v>
      </c>
      <c r="E488" s="98">
        <v>5580</v>
      </c>
    </row>
    <row r="489" spans="1:5" ht="15" customHeight="1" x14ac:dyDescent="0.25">
      <c r="A489" s="91" t="s">
        <v>216</v>
      </c>
      <c r="B489" s="92">
        <v>2025</v>
      </c>
      <c r="C489" s="93">
        <v>45992</v>
      </c>
      <c r="D489" s="100" t="s">
        <v>223</v>
      </c>
      <c r="E489" s="98">
        <v>1619.72</v>
      </c>
    </row>
    <row r="490" spans="1:5" ht="15" customHeight="1" x14ac:dyDescent="0.25">
      <c r="A490" s="91" t="s">
        <v>216</v>
      </c>
      <c r="B490" s="92">
        <v>2025</v>
      </c>
      <c r="C490" s="93">
        <v>45992</v>
      </c>
      <c r="D490" s="100" t="s">
        <v>286</v>
      </c>
      <c r="E490" s="98">
        <v>2530.2399999999998</v>
      </c>
    </row>
    <row r="491" spans="1:5" ht="15" customHeight="1" x14ac:dyDescent="0.25">
      <c r="A491" s="91" t="s">
        <v>216</v>
      </c>
      <c r="B491" s="92">
        <v>2025</v>
      </c>
      <c r="C491" s="93">
        <v>45992</v>
      </c>
      <c r="D491" s="100" t="s">
        <v>73</v>
      </c>
      <c r="E491" s="98">
        <v>633.03</v>
      </c>
    </row>
    <row r="492" spans="1:5" ht="15" customHeight="1" x14ac:dyDescent="0.25">
      <c r="A492" s="91" t="s">
        <v>216</v>
      </c>
      <c r="B492" s="92">
        <v>2025</v>
      </c>
      <c r="C492" s="93">
        <v>45992</v>
      </c>
      <c r="D492" s="100" t="s">
        <v>74</v>
      </c>
      <c r="E492" s="98">
        <v>871.58</v>
      </c>
    </row>
    <row r="493" spans="1:5" ht="15" customHeight="1" x14ac:dyDescent="0.25">
      <c r="A493" s="91" t="s">
        <v>216</v>
      </c>
      <c r="B493" s="92">
        <v>2025</v>
      </c>
      <c r="C493" s="93">
        <v>45992</v>
      </c>
      <c r="D493" s="100" t="s">
        <v>224</v>
      </c>
      <c r="E493" s="98">
        <v>2400</v>
      </c>
    </row>
    <row r="494" spans="1:5" ht="15" customHeight="1" x14ac:dyDescent="0.25">
      <c r="A494" s="91" t="s">
        <v>216</v>
      </c>
      <c r="B494" s="92">
        <v>2025</v>
      </c>
      <c r="C494" s="93">
        <v>45992</v>
      </c>
      <c r="D494" s="100" t="s">
        <v>226</v>
      </c>
      <c r="E494" s="98">
        <v>277.95999999999998</v>
      </c>
    </row>
    <row r="495" spans="1:5" ht="15" customHeight="1" x14ac:dyDescent="0.25">
      <c r="A495" s="91" t="s">
        <v>216</v>
      </c>
      <c r="B495" s="92">
        <v>2025</v>
      </c>
      <c r="C495" s="93">
        <v>45992</v>
      </c>
      <c r="D495" s="100" t="s">
        <v>345</v>
      </c>
      <c r="E495" s="98">
        <v>4300</v>
      </c>
    </row>
    <row r="496" spans="1:5" ht="15" customHeight="1" x14ac:dyDescent="0.25">
      <c r="A496" s="91" t="s">
        <v>355</v>
      </c>
      <c r="B496" s="92">
        <v>2025</v>
      </c>
      <c r="C496" s="93">
        <v>45717</v>
      </c>
      <c r="D496" s="100" t="s">
        <v>71</v>
      </c>
      <c r="E496" s="98">
        <v>4.0999999999999996</v>
      </c>
    </row>
    <row r="497" spans="1:5" ht="15" customHeight="1" x14ac:dyDescent="0.25">
      <c r="A497" s="91" t="s">
        <v>355</v>
      </c>
      <c r="B497" s="92">
        <v>2025</v>
      </c>
      <c r="C497" s="93">
        <v>45809</v>
      </c>
      <c r="D497" s="100" t="s">
        <v>192</v>
      </c>
      <c r="E497" s="98">
        <v>3028.75</v>
      </c>
    </row>
    <row r="498" spans="1:5" ht="15" customHeight="1" x14ac:dyDescent="0.25">
      <c r="A498" s="91" t="s">
        <v>355</v>
      </c>
      <c r="B498" s="92">
        <v>2025</v>
      </c>
      <c r="C498" s="93">
        <v>45809</v>
      </c>
      <c r="D498" s="100" t="s">
        <v>194</v>
      </c>
      <c r="E498" s="98">
        <v>923.59</v>
      </c>
    </row>
    <row r="499" spans="1:5" ht="15" customHeight="1" x14ac:dyDescent="0.25">
      <c r="A499" s="91" t="s">
        <v>355</v>
      </c>
      <c r="B499" s="92">
        <v>2025</v>
      </c>
      <c r="C499" s="93">
        <v>45839</v>
      </c>
      <c r="D499" s="100" t="s">
        <v>192</v>
      </c>
      <c r="E499" s="98">
        <v>10221.18</v>
      </c>
    </row>
    <row r="500" spans="1:5" ht="15" customHeight="1" x14ac:dyDescent="0.25">
      <c r="A500" s="91" t="s">
        <v>355</v>
      </c>
      <c r="B500" s="92">
        <v>2025</v>
      </c>
      <c r="C500" s="93">
        <v>45839</v>
      </c>
      <c r="D500" s="100" t="s">
        <v>57</v>
      </c>
      <c r="E500" s="98">
        <v>85711.45</v>
      </c>
    </row>
    <row r="501" spans="1:5" ht="15" customHeight="1" x14ac:dyDescent="0.25">
      <c r="A501" s="91" t="s">
        <v>355</v>
      </c>
      <c r="B501" s="92">
        <v>2025</v>
      </c>
      <c r="C501" s="93">
        <v>45839</v>
      </c>
      <c r="D501" s="100" t="s">
        <v>71</v>
      </c>
      <c r="E501" s="98">
        <v>605.34</v>
      </c>
    </row>
    <row r="502" spans="1:5" ht="15" customHeight="1" x14ac:dyDescent="0.25">
      <c r="A502" s="91" t="s">
        <v>355</v>
      </c>
      <c r="B502" s="92">
        <v>2025</v>
      </c>
      <c r="C502" s="93">
        <v>45901</v>
      </c>
      <c r="D502" s="100" t="s">
        <v>78</v>
      </c>
      <c r="E502" s="98">
        <v>0.78</v>
      </c>
    </row>
    <row r="503" spans="1:5" ht="15" customHeight="1" x14ac:dyDescent="0.25">
      <c r="A503" s="91" t="s">
        <v>355</v>
      </c>
      <c r="B503" s="92">
        <v>2025</v>
      </c>
      <c r="C503" s="93">
        <v>45931</v>
      </c>
      <c r="D503" s="100" t="s">
        <v>285</v>
      </c>
      <c r="E503" s="98">
        <v>186</v>
      </c>
    </row>
    <row r="504" spans="1:5" ht="15" customHeight="1" x14ac:dyDescent="0.25">
      <c r="A504" s="91" t="s">
        <v>355</v>
      </c>
      <c r="B504" s="92">
        <v>2025</v>
      </c>
      <c r="C504" s="93">
        <v>45992</v>
      </c>
      <c r="D504" s="100" t="s">
        <v>285</v>
      </c>
      <c r="E504" s="98">
        <v>715.99</v>
      </c>
    </row>
    <row r="505" spans="1:5" ht="15" customHeight="1" x14ac:dyDescent="0.25">
      <c r="A505" s="91" t="s">
        <v>355</v>
      </c>
      <c r="B505" s="92">
        <v>2025</v>
      </c>
      <c r="C505" s="93">
        <v>45992</v>
      </c>
      <c r="D505" s="100" t="s">
        <v>345</v>
      </c>
      <c r="E505" s="98">
        <v>5737.15</v>
      </c>
    </row>
    <row r="506" spans="1:5" ht="15" customHeight="1" x14ac:dyDescent="0.25">
      <c r="A506" s="91" t="s">
        <v>355</v>
      </c>
      <c r="B506" s="92">
        <v>2026</v>
      </c>
      <c r="C506" s="93">
        <v>46023</v>
      </c>
      <c r="D506" s="100" t="s">
        <v>285</v>
      </c>
      <c r="E506" s="98">
        <v>26675.02</v>
      </c>
    </row>
    <row r="507" spans="1:5" ht="15" customHeight="1" x14ac:dyDescent="0.25">
      <c r="A507" s="91" t="s">
        <v>216</v>
      </c>
      <c r="B507" s="92">
        <v>2026</v>
      </c>
      <c r="C507" s="93">
        <v>46023</v>
      </c>
      <c r="D507" s="100" t="s">
        <v>217</v>
      </c>
      <c r="E507" s="98">
        <v>314.7</v>
      </c>
    </row>
    <row r="508" spans="1:5" ht="15" customHeight="1" x14ac:dyDescent="0.25">
      <c r="A508" s="91" t="s">
        <v>216</v>
      </c>
      <c r="B508" s="92">
        <v>2026</v>
      </c>
      <c r="C508" s="93">
        <v>46023</v>
      </c>
      <c r="D508" s="100" t="s">
        <v>302</v>
      </c>
      <c r="E508" s="98">
        <v>2500</v>
      </c>
    </row>
    <row r="509" spans="1:5" ht="15" customHeight="1" x14ac:dyDescent="0.25">
      <c r="A509" s="91" t="s">
        <v>216</v>
      </c>
      <c r="B509" s="92">
        <v>2026</v>
      </c>
      <c r="C509" s="93">
        <v>46023</v>
      </c>
      <c r="D509" s="100" t="s">
        <v>378</v>
      </c>
      <c r="E509" s="98">
        <v>106</v>
      </c>
    </row>
    <row r="510" spans="1:5" ht="15" customHeight="1" x14ac:dyDescent="0.25">
      <c r="A510" s="91" t="s">
        <v>216</v>
      </c>
      <c r="B510" s="92">
        <v>2026</v>
      </c>
      <c r="C510" s="93">
        <v>46023</v>
      </c>
      <c r="D510" s="100" t="s">
        <v>58</v>
      </c>
      <c r="E510" s="98">
        <v>3894.5</v>
      </c>
    </row>
    <row r="511" spans="1:5" ht="15" customHeight="1" x14ac:dyDescent="0.25">
      <c r="A511" s="91" t="s">
        <v>216</v>
      </c>
      <c r="B511" s="92">
        <v>2026</v>
      </c>
      <c r="C511" s="93">
        <v>46023</v>
      </c>
      <c r="D511" s="100" t="s">
        <v>333</v>
      </c>
      <c r="E511" s="98">
        <v>9009.6</v>
      </c>
    </row>
    <row r="512" spans="1:5" ht="15" customHeight="1" x14ac:dyDescent="0.25">
      <c r="A512" s="91" t="s">
        <v>216</v>
      </c>
      <c r="B512" s="92">
        <v>2026</v>
      </c>
      <c r="C512" s="93">
        <v>46023</v>
      </c>
      <c r="D512" s="100" t="s">
        <v>59</v>
      </c>
      <c r="E512" s="98">
        <v>615.52</v>
      </c>
    </row>
    <row r="513" spans="1:5" ht="15" customHeight="1" x14ac:dyDescent="0.25">
      <c r="A513" s="91" t="s">
        <v>216</v>
      </c>
      <c r="B513" s="92">
        <v>2026</v>
      </c>
      <c r="C513" s="93">
        <v>46023</v>
      </c>
      <c r="D513" s="100" t="s">
        <v>60</v>
      </c>
      <c r="E513" s="98">
        <v>109.65</v>
      </c>
    </row>
    <row r="514" spans="1:5" ht="15" customHeight="1" x14ac:dyDescent="0.25">
      <c r="A514" s="91" t="s">
        <v>216</v>
      </c>
      <c r="B514" s="92">
        <v>2026</v>
      </c>
      <c r="C514" s="93">
        <v>46023</v>
      </c>
      <c r="D514" s="100" t="s">
        <v>379</v>
      </c>
      <c r="E514" s="98">
        <v>23408.85</v>
      </c>
    </row>
    <row r="515" spans="1:5" ht="15" customHeight="1" x14ac:dyDescent="0.25">
      <c r="A515" s="91" t="s">
        <v>216</v>
      </c>
      <c r="B515" s="92">
        <v>2026</v>
      </c>
      <c r="C515" s="93">
        <v>46023</v>
      </c>
      <c r="D515" s="100" t="s">
        <v>182</v>
      </c>
      <c r="E515" s="98">
        <v>96.61</v>
      </c>
    </row>
    <row r="516" spans="1:5" ht="15" customHeight="1" x14ac:dyDescent="0.25">
      <c r="A516" s="91" t="s">
        <v>216</v>
      </c>
      <c r="B516" s="92">
        <v>2026</v>
      </c>
      <c r="C516" s="93">
        <v>46023</v>
      </c>
      <c r="D516" s="100" t="s">
        <v>61</v>
      </c>
      <c r="E516" s="98">
        <v>1621</v>
      </c>
    </row>
    <row r="517" spans="1:5" ht="15" customHeight="1" x14ac:dyDescent="0.25">
      <c r="A517" s="91" t="s">
        <v>216</v>
      </c>
      <c r="B517" s="92">
        <v>2026</v>
      </c>
      <c r="C517" s="93">
        <v>46023</v>
      </c>
      <c r="D517" s="100" t="s">
        <v>219</v>
      </c>
      <c r="E517" s="98">
        <v>9450.33</v>
      </c>
    </row>
    <row r="518" spans="1:5" ht="15" customHeight="1" x14ac:dyDescent="0.25">
      <c r="A518" s="91" t="s">
        <v>216</v>
      </c>
      <c r="B518" s="92">
        <v>2026</v>
      </c>
      <c r="C518" s="93">
        <v>46023</v>
      </c>
      <c r="D518" s="100" t="s">
        <v>62</v>
      </c>
      <c r="E518" s="98">
        <v>1779</v>
      </c>
    </row>
    <row r="519" spans="1:5" ht="15" customHeight="1" x14ac:dyDescent="0.25">
      <c r="A519" s="91" t="s">
        <v>216</v>
      </c>
      <c r="B519" s="92">
        <v>2026</v>
      </c>
      <c r="C519" s="93">
        <v>46023</v>
      </c>
      <c r="D519" s="100" t="s">
        <v>259</v>
      </c>
      <c r="E519" s="98">
        <v>11226.64</v>
      </c>
    </row>
    <row r="520" spans="1:5" ht="15" customHeight="1" x14ac:dyDescent="0.25">
      <c r="A520" s="91" t="s">
        <v>216</v>
      </c>
      <c r="B520" s="92">
        <v>2026</v>
      </c>
      <c r="C520" s="93">
        <v>46023</v>
      </c>
      <c r="D520" s="100" t="s">
        <v>63</v>
      </c>
      <c r="E520" s="98">
        <v>896.95</v>
      </c>
    </row>
    <row r="521" spans="1:5" ht="15" customHeight="1" x14ac:dyDescent="0.25">
      <c r="A521" s="91" t="s">
        <v>216</v>
      </c>
      <c r="B521" s="92">
        <v>2026</v>
      </c>
      <c r="C521" s="93">
        <v>46023</v>
      </c>
      <c r="D521" s="100" t="s">
        <v>64</v>
      </c>
      <c r="E521" s="98">
        <v>806</v>
      </c>
    </row>
    <row r="522" spans="1:5" ht="15" customHeight="1" x14ac:dyDescent="0.25">
      <c r="A522" s="91" t="s">
        <v>216</v>
      </c>
      <c r="B522" s="92">
        <v>2026</v>
      </c>
      <c r="C522" s="93">
        <v>46023</v>
      </c>
      <c r="D522" s="100" t="s">
        <v>285</v>
      </c>
      <c r="E522" s="98">
        <v>2211.27</v>
      </c>
    </row>
    <row r="523" spans="1:5" ht="15" customHeight="1" x14ac:dyDescent="0.25">
      <c r="A523" s="91" t="s">
        <v>216</v>
      </c>
      <c r="B523" s="92">
        <v>2026</v>
      </c>
      <c r="C523" s="93">
        <v>46023</v>
      </c>
      <c r="D523" s="100" t="s">
        <v>65</v>
      </c>
      <c r="E523" s="98">
        <v>182.66</v>
      </c>
    </row>
    <row r="524" spans="1:5" ht="15" customHeight="1" x14ac:dyDescent="0.25">
      <c r="A524" s="91" t="s">
        <v>216</v>
      </c>
      <c r="B524" s="92">
        <v>2026</v>
      </c>
      <c r="C524" s="93">
        <v>46023</v>
      </c>
      <c r="D524" s="100" t="s">
        <v>66</v>
      </c>
      <c r="E524" s="98">
        <v>205.51</v>
      </c>
    </row>
    <row r="525" spans="1:5" ht="15" customHeight="1" x14ac:dyDescent="0.25">
      <c r="A525" s="91" t="s">
        <v>216</v>
      </c>
      <c r="B525" s="92">
        <v>2026</v>
      </c>
      <c r="C525" s="93">
        <v>46023</v>
      </c>
      <c r="D525" s="100" t="s">
        <v>67</v>
      </c>
      <c r="E525" s="98">
        <v>1613.75</v>
      </c>
    </row>
    <row r="526" spans="1:5" ht="15" customHeight="1" x14ac:dyDescent="0.25">
      <c r="A526" s="91" t="s">
        <v>216</v>
      </c>
      <c r="B526" s="92">
        <v>2026</v>
      </c>
      <c r="C526" s="93">
        <v>46023</v>
      </c>
      <c r="D526" s="100" t="s">
        <v>68</v>
      </c>
      <c r="E526" s="98">
        <v>2787.39</v>
      </c>
    </row>
    <row r="527" spans="1:5" ht="15" customHeight="1" x14ac:dyDescent="0.25">
      <c r="A527" s="91" t="s">
        <v>216</v>
      </c>
      <c r="B527" s="92">
        <v>2026</v>
      </c>
      <c r="C527" s="93">
        <v>46023</v>
      </c>
      <c r="D527" s="100" t="s">
        <v>69</v>
      </c>
      <c r="E527" s="98">
        <v>56990.81</v>
      </c>
    </row>
    <row r="528" spans="1:5" ht="15" customHeight="1" x14ac:dyDescent="0.25">
      <c r="A528" s="91" t="s">
        <v>216</v>
      </c>
      <c r="B528" s="92">
        <v>2026</v>
      </c>
      <c r="C528" s="93">
        <v>46023</v>
      </c>
      <c r="D528" s="100" t="s">
        <v>180</v>
      </c>
      <c r="E528" s="98">
        <v>2874.69</v>
      </c>
    </row>
    <row r="529" spans="1:5" ht="15" customHeight="1" x14ac:dyDescent="0.25">
      <c r="A529" s="91" t="s">
        <v>216</v>
      </c>
      <c r="B529" s="92">
        <v>2026</v>
      </c>
      <c r="C529" s="93">
        <v>46023</v>
      </c>
      <c r="D529" s="100" t="s">
        <v>232</v>
      </c>
      <c r="E529" s="98">
        <v>500</v>
      </c>
    </row>
    <row r="530" spans="1:5" ht="15" customHeight="1" x14ac:dyDescent="0.25">
      <c r="A530" s="91" t="s">
        <v>216</v>
      </c>
      <c r="B530" s="92">
        <v>2026</v>
      </c>
      <c r="C530" s="93">
        <v>46023</v>
      </c>
      <c r="D530" s="100" t="s">
        <v>194</v>
      </c>
      <c r="E530" s="98">
        <v>475</v>
      </c>
    </row>
    <row r="531" spans="1:5" ht="15" customHeight="1" x14ac:dyDescent="0.25">
      <c r="A531" s="91" t="s">
        <v>216</v>
      </c>
      <c r="B531" s="92">
        <v>2026</v>
      </c>
      <c r="C531" s="93">
        <v>46023</v>
      </c>
      <c r="D531" s="100" t="s">
        <v>70</v>
      </c>
      <c r="E531" s="98">
        <v>279.27999999999997</v>
      </c>
    </row>
    <row r="532" spans="1:5" ht="15" customHeight="1" x14ac:dyDescent="0.25">
      <c r="A532" s="91" t="s">
        <v>216</v>
      </c>
      <c r="B532" s="92">
        <v>2026</v>
      </c>
      <c r="C532" s="93">
        <v>46023</v>
      </c>
      <c r="D532" s="100" t="s">
        <v>220</v>
      </c>
      <c r="E532" s="98">
        <v>3080.1</v>
      </c>
    </row>
    <row r="533" spans="1:5" ht="15" customHeight="1" x14ac:dyDescent="0.25">
      <c r="A533" s="91" t="s">
        <v>216</v>
      </c>
      <c r="B533" s="92">
        <v>2026</v>
      </c>
      <c r="C533" s="93">
        <v>46023</v>
      </c>
      <c r="D533" s="100" t="s">
        <v>222</v>
      </c>
      <c r="E533" s="98">
        <v>16</v>
      </c>
    </row>
    <row r="534" spans="1:5" ht="15" customHeight="1" x14ac:dyDescent="0.25">
      <c r="A534" s="91" t="s">
        <v>216</v>
      </c>
      <c r="B534" s="92">
        <v>2026</v>
      </c>
      <c r="C534" s="93">
        <v>46023</v>
      </c>
      <c r="D534" s="100" t="s">
        <v>71</v>
      </c>
      <c r="E534" s="98">
        <v>25920.98</v>
      </c>
    </row>
    <row r="535" spans="1:5" ht="15" customHeight="1" x14ac:dyDescent="0.25">
      <c r="A535" s="91" t="s">
        <v>216</v>
      </c>
      <c r="B535" s="92">
        <v>2026</v>
      </c>
      <c r="C535" s="93">
        <v>46023</v>
      </c>
      <c r="D535" s="100" t="s">
        <v>72</v>
      </c>
      <c r="E535" s="98">
        <v>976.78</v>
      </c>
    </row>
    <row r="536" spans="1:5" ht="15" customHeight="1" x14ac:dyDescent="0.25">
      <c r="A536" s="91" t="s">
        <v>216</v>
      </c>
      <c r="B536" s="92">
        <v>2026</v>
      </c>
      <c r="C536" s="93">
        <v>46023</v>
      </c>
      <c r="D536" s="100" t="s">
        <v>223</v>
      </c>
      <c r="E536" s="98">
        <v>437.6</v>
      </c>
    </row>
    <row r="537" spans="1:5" ht="15" customHeight="1" x14ac:dyDescent="0.25">
      <c r="A537" s="91" t="s">
        <v>216</v>
      </c>
      <c r="B537" s="92">
        <v>2026</v>
      </c>
      <c r="C537" s="93">
        <v>46023</v>
      </c>
      <c r="D537" s="100" t="s">
        <v>334</v>
      </c>
      <c r="E537" s="98">
        <v>2547.5700000000002</v>
      </c>
    </row>
    <row r="538" spans="1:5" ht="15" customHeight="1" x14ac:dyDescent="0.25">
      <c r="A538" s="91" t="s">
        <v>216</v>
      </c>
      <c r="B538" s="92">
        <v>2026</v>
      </c>
      <c r="C538" s="93">
        <v>46023</v>
      </c>
      <c r="D538" s="100" t="s">
        <v>73</v>
      </c>
      <c r="E538" s="98">
        <v>633.01</v>
      </c>
    </row>
    <row r="539" spans="1:5" ht="15" customHeight="1" x14ac:dyDescent="0.25">
      <c r="A539" s="91" t="s">
        <v>216</v>
      </c>
      <c r="B539" s="92">
        <v>2026</v>
      </c>
      <c r="C539" s="93">
        <v>46023</v>
      </c>
      <c r="D539" s="100" t="s">
        <v>74</v>
      </c>
      <c r="E539" s="98">
        <v>1399.64</v>
      </c>
    </row>
    <row r="540" spans="1:5" ht="15" customHeight="1" x14ac:dyDescent="0.25">
      <c r="A540" s="91" t="s">
        <v>216</v>
      </c>
      <c r="B540" s="92">
        <v>2026</v>
      </c>
      <c r="C540" s="93">
        <v>46023</v>
      </c>
      <c r="D540" s="100" t="s">
        <v>226</v>
      </c>
      <c r="E540" s="98">
        <v>138.13999999999999</v>
      </c>
    </row>
    <row r="541" spans="1:5" ht="15" customHeight="1" x14ac:dyDescent="0.25">
      <c r="A541" s="91" t="s">
        <v>51</v>
      </c>
      <c r="B541" s="92">
        <v>2026</v>
      </c>
      <c r="C541" s="93">
        <v>46023</v>
      </c>
      <c r="D541" s="100" t="s">
        <v>59</v>
      </c>
      <c r="E541" s="98">
        <v>21393.46</v>
      </c>
    </row>
    <row r="542" spans="1:5" ht="15" customHeight="1" x14ac:dyDescent="0.25">
      <c r="A542" s="91" t="s">
        <v>51</v>
      </c>
      <c r="B542" s="92">
        <v>2026</v>
      </c>
      <c r="C542" s="93">
        <v>46023</v>
      </c>
      <c r="D542" s="100" t="s">
        <v>60</v>
      </c>
      <c r="E542" s="98">
        <v>79.67</v>
      </c>
    </row>
    <row r="543" spans="1:5" ht="15" customHeight="1" x14ac:dyDescent="0.25">
      <c r="A543" s="91" t="s">
        <v>51</v>
      </c>
      <c r="B543" s="92">
        <v>2026</v>
      </c>
      <c r="C543" s="93">
        <v>46023</v>
      </c>
      <c r="D543" s="100" t="s">
        <v>61</v>
      </c>
      <c r="E543" s="98">
        <v>1621</v>
      </c>
    </row>
    <row r="544" spans="1:5" ht="15" customHeight="1" x14ac:dyDescent="0.25">
      <c r="A544" s="91" t="s">
        <v>51</v>
      </c>
      <c r="B544" s="92">
        <v>2026</v>
      </c>
      <c r="C544" s="93">
        <v>46023</v>
      </c>
      <c r="D544" s="100" t="s">
        <v>63</v>
      </c>
      <c r="E544" s="98">
        <v>125</v>
      </c>
    </row>
    <row r="545" spans="1:5" ht="15" customHeight="1" x14ac:dyDescent="0.25">
      <c r="A545" s="91" t="s">
        <v>51</v>
      </c>
      <c r="B545" s="92">
        <v>2026</v>
      </c>
      <c r="C545" s="93">
        <v>46023</v>
      </c>
      <c r="D545" s="100" t="s">
        <v>64</v>
      </c>
      <c r="E545" s="98">
        <v>806</v>
      </c>
    </row>
    <row r="546" spans="1:5" ht="15" customHeight="1" x14ac:dyDescent="0.25">
      <c r="A546" s="91" t="s">
        <v>51</v>
      </c>
      <c r="B546" s="92">
        <v>2026</v>
      </c>
      <c r="C546" s="93">
        <v>46023</v>
      </c>
      <c r="D546" s="100" t="s">
        <v>65</v>
      </c>
      <c r="E546" s="98">
        <v>179.9</v>
      </c>
    </row>
    <row r="547" spans="1:5" ht="15" customHeight="1" x14ac:dyDescent="0.25">
      <c r="A547" s="91" t="s">
        <v>51</v>
      </c>
      <c r="B547" s="92">
        <v>2026</v>
      </c>
      <c r="C547" s="93">
        <v>46023</v>
      </c>
      <c r="D547" s="100" t="s">
        <v>66</v>
      </c>
      <c r="E547" s="98">
        <v>159.91999999999999</v>
      </c>
    </row>
    <row r="548" spans="1:5" ht="15" customHeight="1" x14ac:dyDescent="0.25">
      <c r="A548" s="91" t="s">
        <v>51</v>
      </c>
      <c r="B548" s="92">
        <v>2026</v>
      </c>
      <c r="C548" s="93">
        <v>46023</v>
      </c>
      <c r="D548" s="100" t="s">
        <v>67</v>
      </c>
      <c r="E548" s="98">
        <v>32906.54</v>
      </c>
    </row>
    <row r="549" spans="1:5" ht="15" customHeight="1" x14ac:dyDescent="0.25">
      <c r="A549" s="91" t="s">
        <v>51</v>
      </c>
      <c r="B549" s="92">
        <v>2026</v>
      </c>
      <c r="C549" s="93">
        <v>46023</v>
      </c>
      <c r="D549" s="100" t="s">
        <v>68</v>
      </c>
      <c r="E549" s="98">
        <v>5757.88</v>
      </c>
    </row>
    <row r="550" spans="1:5" ht="15" customHeight="1" x14ac:dyDescent="0.25">
      <c r="A550" s="91" t="s">
        <v>51</v>
      </c>
      <c r="B550" s="92">
        <v>2026</v>
      </c>
      <c r="C550" s="93">
        <v>46023</v>
      </c>
      <c r="D550" s="100" t="s">
        <v>69</v>
      </c>
      <c r="E550" s="98">
        <v>1664.75</v>
      </c>
    </row>
    <row r="551" spans="1:5" ht="15" customHeight="1" x14ac:dyDescent="0.25">
      <c r="A551" s="91" t="s">
        <v>51</v>
      </c>
      <c r="B551" s="92">
        <v>2026</v>
      </c>
      <c r="C551" s="93">
        <v>46023</v>
      </c>
      <c r="D551" s="100" t="s">
        <v>180</v>
      </c>
      <c r="E551" s="98">
        <v>2223.46</v>
      </c>
    </row>
    <row r="552" spans="1:5" ht="15" customHeight="1" x14ac:dyDescent="0.25">
      <c r="A552" s="91" t="s">
        <v>51</v>
      </c>
      <c r="B552" s="92">
        <v>2026</v>
      </c>
      <c r="C552" s="93">
        <v>46023</v>
      </c>
      <c r="D552" s="100" t="s">
        <v>71</v>
      </c>
      <c r="E552" s="98">
        <v>14314</v>
      </c>
    </row>
    <row r="553" spans="1:5" ht="15" customHeight="1" x14ac:dyDescent="0.25">
      <c r="A553" s="91" t="s">
        <v>51</v>
      </c>
      <c r="B553" s="92">
        <v>2026</v>
      </c>
      <c r="C553" s="93">
        <v>46023</v>
      </c>
      <c r="D553" s="100" t="s">
        <v>73</v>
      </c>
      <c r="E553" s="98">
        <v>633.01</v>
      </c>
    </row>
    <row r="554" spans="1:5" ht="15" customHeight="1" x14ac:dyDescent="0.25">
      <c r="A554" s="91" t="s">
        <v>51</v>
      </c>
      <c r="B554" s="92">
        <v>2026</v>
      </c>
      <c r="C554" s="93">
        <v>46023</v>
      </c>
      <c r="D554" s="100" t="s">
        <v>74</v>
      </c>
      <c r="E554" s="98">
        <v>283.8</v>
      </c>
    </row>
    <row r="555" spans="1:5" ht="15" customHeight="1" x14ac:dyDescent="0.25">
      <c r="A555" s="91" t="s">
        <v>51</v>
      </c>
      <c r="B555" s="92">
        <v>2026</v>
      </c>
      <c r="C555" s="93">
        <v>46054</v>
      </c>
      <c r="D555" s="100" t="s">
        <v>76</v>
      </c>
      <c r="E555" s="98">
        <v>65</v>
      </c>
    </row>
    <row r="556" spans="1:5" ht="15" customHeight="1" x14ac:dyDescent="0.25">
      <c r="A556" s="91" t="s">
        <v>51</v>
      </c>
      <c r="B556" s="92">
        <v>2026</v>
      </c>
      <c r="C556" s="93">
        <v>46054</v>
      </c>
      <c r="D556" s="100" t="s">
        <v>60</v>
      </c>
      <c r="E556" s="98">
        <v>104.6</v>
      </c>
    </row>
    <row r="557" spans="1:5" ht="15" customHeight="1" x14ac:dyDescent="0.25">
      <c r="A557" s="91" t="s">
        <v>51</v>
      </c>
      <c r="B557" s="92">
        <v>2026</v>
      </c>
      <c r="C557" s="93">
        <v>46054</v>
      </c>
      <c r="D557" s="100" t="s">
        <v>61</v>
      </c>
      <c r="E557" s="98">
        <v>1621</v>
      </c>
    </row>
    <row r="558" spans="1:5" ht="15" customHeight="1" x14ac:dyDescent="0.25">
      <c r="A558" s="91" t="s">
        <v>51</v>
      </c>
      <c r="B558" s="92">
        <v>2026</v>
      </c>
      <c r="C558" s="93">
        <v>46054</v>
      </c>
      <c r="D558" s="100" t="s">
        <v>62</v>
      </c>
      <c r="E558" s="98">
        <v>480</v>
      </c>
    </row>
    <row r="559" spans="1:5" ht="15" customHeight="1" x14ac:dyDescent="0.25">
      <c r="A559" s="91" t="s">
        <v>51</v>
      </c>
      <c r="B559" s="92">
        <v>2026</v>
      </c>
      <c r="C559" s="93">
        <v>46054</v>
      </c>
      <c r="D559" s="100" t="s">
        <v>63</v>
      </c>
      <c r="E559" s="98">
        <v>321</v>
      </c>
    </row>
    <row r="560" spans="1:5" ht="15" customHeight="1" x14ac:dyDescent="0.25">
      <c r="A560" s="91" t="s">
        <v>51</v>
      </c>
      <c r="B560" s="92">
        <v>2026</v>
      </c>
      <c r="C560" s="93">
        <v>46054</v>
      </c>
      <c r="D560" s="100" t="s">
        <v>64</v>
      </c>
      <c r="E560" s="98">
        <v>806</v>
      </c>
    </row>
    <row r="561" spans="1:5" ht="15" customHeight="1" x14ac:dyDescent="0.25">
      <c r="A561" s="91" t="s">
        <v>51</v>
      </c>
      <c r="B561" s="92">
        <v>2026</v>
      </c>
      <c r="C561" s="93">
        <v>46054</v>
      </c>
      <c r="D561" s="100" t="s">
        <v>65</v>
      </c>
      <c r="E561" s="98">
        <v>179.9</v>
      </c>
    </row>
    <row r="562" spans="1:5" ht="15" customHeight="1" x14ac:dyDescent="0.25">
      <c r="A562" s="91" t="s">
        <v>51</v>
      </c>
      <c r="B562" s="92">
        <v>2026</v>
      </c>
      <c r="C562" s="93">
        <v>46054</v>
      </c>
      <c r="D562" s="100" t="s">
        <v>66</v>
      </c>
      <c r="E562" s="98">
        <v>52.44</v>
      </c>
    </row>
    <row r="563" spans="1:5" ht="15" customHeight="1" x14ac:dyDescent="0.25">
      <c r="A563" s="91" t="s">
        <v>51</v>
      </c>
      <c r="B563" s="92">
        <v>2026</v>
      </c>
      <c r="C563" s="93">
        <v>46054</v>
      </c>
      <c r="D563" s="100" t="s">
        <v>67</v>
      </c>
      <c r="E563" s="98">
        <v>399.11</v>
      </c>
    </row>
    <row r="564" spans="1:5" ht="15" customHeight="1" x14ac:dyDescent="0.25">
      <c r="A564" s="91" t="s">
        <v>51</v>
      </c>
      <c r="B564" s="92">
        <v>2026</v>
      </c>
      <c r="C564" s="93">
        <v>46054</v>
      </c>
      <c r="D564" s="100" t="s">
        <v>69</v>
      </c>
      <c r="E564" s="98">
        <v>936.05</v>
      </c>
    </row>
    <row r="565" spans="1:5" ht="15" customHeight="1" x14ac:dyDescent="0.25">
      <c r="A565" s="91" t="s">
        <v>51</v>
      </c>
      <c r="B565" s="92">
        <v>2026</v>
      </c>
      <c r="C565" s="93">
        <v>46054</v>
      </c>
      <c r="D565" s="100" t="s">
        <v>70</v>
      </c>
      <c r="E565" s="98">
        <v>199.66</v>
      </c>
    </row>
    <row r="566" spans="1:5" ht="15" customHeight="1" x14ac:dyDescent="0.25">
      <c r="A566" s="91" t="s">
        <v>51</v>
      </c>
      <c r="B566" s="92">
        <v>2026</v>
      </c>
      <c r="C566" s="93">
        <v>46054</v>
      </c>
      <c r="D566" s="100" t="s">
        <v>71</v>
      </c>
      <c r="E566" s="98">
        <v>15314</v>
      </c>
    </row>
    <row r="567" spans="1:5" ht="15" customHeight="1" x14ac:dyDescent="0.25">
      <c r="A567" s="91" t="s">
        <v>51</v>
      </c>
      <c r="B567" s="92">
        <v>2026</v>
      </c>
      <c r="C567" s="93">
        <v>46054</v>
      </c>
      <c r="D567" s="100" t="s">
        <v>73</v>
      </c>
      <c r="E567" s="98">
        <v>675.96</v>
      </c>
    </row>
    <row r="568" spans="1:5" ht="15" customHeight="1" x14ac:dyDescent="0.25">
      <c r="A568" s="91" t="s">
        <v>51</v>
      </c>
      <c r="B568" s="92">
        <v>2026</v>
      </c>
      <c r="C568" s="93">
        <v>46054</v>
      </c>
      <c r="D568" s="100" t="s">
        <v>74</v>
      </c>
      <c r="E568" s="98">
        <v>283.8</v>
      </c>
    </row>
    <row r="569" spans="1:5" ht="15" customHeight="1" x14ac:dyDescent="0.25">
      <c r="A569" s="91" t="s">
        <v>216</v>
      </c>
      <c r="B569" s="92">
        <v>2026</v>
      </c>
      <c r="C569" s="93">
        <v>46054</v>
      </c>
      <c r="D569" s="100" t="s">
        <v>217</v>
      </c>
      <c r="E569" s="98">
        <v>314.7</v>
      </c>
    </row>
    <row r="570" spans="1:5" ht="15" customHeight="1" x14ac:dyDescent="0.25">
      <c r="A570" s="91" t="s">
        <v>216</v>
      </c>
      <c r="B570" s="92">
        <v>2026</v>
      </c>
      <c r="C570" s="93">
        <v>46054</v>
      </c>
      <c r="D570" s="100" t="s">
        <v>302</v>
      </c>
      <c r="E570" s="98">
        <v>2500</v>
      </c>
    </row>
    <row r="571" spans="1:5" ht="15" customHeight="1" x14ac:dyDescent="0.25">
      <c r="A571" s="91" t="s">
        <v>216</v>
      </c>
      <c r="B571" s="92">
        <v>2026</v>
      </c>
      <c r="C571" s="93">
        <v>46054</v>
      </c>
      <c r="D571" s="100" t="s">
        <v>191</v>
      </c>
      <c r="E571" s="98">
        <v>547.98</v>
      </c>
    </row>
    <row r="572" spans="1:5" ht="15" customHeight="1" x14ac:dyDescent="0.25">
      <c r="A572" s="91" t="s">
        <v>216</v>
      </c>
      <c r="B572" s="92">
        <v>2026</v>
      </c>
      <c r="C572" s="93">
        <v>46054</v>
      </c>
      <c r="D572" s="100" t="s">
        <v>233</v>
      </c>
      <c r="E572" s="98">
        <v>1419.44</v>
      </c>
    </row>
    <row r="573" spans="1:5" ht="15" customHeight="1" x14ac:dyDescent="0.25">
      <c r="A573" s="91" t="s">
        <v>216</v>
      </c>
      <c r="B573" s="92">
        <v>2026</v>
      </c>
      <c r="C573" s="93">
        <v>46054</v>
      </c>
      <c r="D573" s="100" t="s">
        <v>75</v>
      </c>
      <c r="E573" s="98">
        <v>190</v>
      </c>
    </row>
    <row r="574" spans="1:5" ht="15" customHeight="1" x14ac:dyDescent="0.25">
      <c r="A574" s="91" t="s">
        <v>216</v>
      </c>
      <c r="B574" s="92">
        <v>2026</v>
      </c>
      <c r="C574" s="93">
        <v>46054</v>
      </c>
      <c r="D574" s="100" t="s">
        <v>192</v>
      </c>
      <c r="E574" s="98">
        <v>19571.97</v>
      </c>
    </row>
    <row r="575" spans="1:5" ht="15" customHeight="1" x14ac:dyDescent="0.25">
      <c r="A575" s="91" t="s">
        <v>216</v>
      </c>
      <c r="B575" s="92">
        <v>2026</v>
      </c>
      <c r="C575" s="93">
        <v>46054</v>
      </c>
      <c r="D575" s="100" t="s">
        <v>430</v>
      </c>
      <c r="E575" s="98">
        <v>1000</v>
      </c>
    </row>
    <row r="576" spans="1:5" ht="15" customHeight="1" x14ac:dyDescent="0.25">
      <c r="A576" s="91" t="s">
        <v>216</v>
      </c>
      <c r="B576" s="92">
        <v>2026</v>
      </c>
      <c r="C576" s="93">
        <v>46054</v>
      </c>
      <c r="D576" s="100" t="s">
        <v>58</v>
      </c>
      <c r="E576" s="98">
        <v>810.76</v>
      </c>
    </row>
    <row r="577" spans="1:5" ht="15" customHeight="1" x14ac:dyDescent="0.25">
      <c r="A577" s="91" t="s">
        <v>216</v>
      </c>
      <c r="B577" s="92">
        <v>2026</v>
      </c>
      <c r="C577" s="93">
        <v>46054</v>
      </c>
      <c r="D577" s="100" t="s">
        <v>198</v>
      </c>
      <c r="E577" s="98">
        <v>1810.45</v>
      </c>
    </row>
    <row r="578" spans="1:5" ht="15" customHeight="1" x14ac:dyDescent="0.25">
      <c r="A578" s="91" t="s">
        <v>216</v>
      </c>
      <c r="B578" s="92">
        <v>2026</v>
      </c>
      <c r="C578" s="93">
        <v>46054</v>
      </c>
      <c r="D578" s="100" t="s">
        <v>76</v>
      </c>
      <c r="E578" s="98">
        <v>200</v>
      </c>
    </row>
    <row r="579" spans="1:5" ht="15" customHeight="1" x14ac:dyDescent="0.25">
      <c r="A579" s="91" t="s">
        <v>216</v>
      </c>
      <c r="B579" s="92">
        <v>2026</v>
      </c>
      <c r="C579" s="93">
        <v>46054</v>
      </c>
      <c r="D579" s="100" t="s">
        <v>60</v>
      </c>
      <c r="E579" s="98">
        <v>186.64</v>
      </c>
    </row>
    <row r="580" spans="1:5" ht="15" customHeight="1" x14ac:dyDescent="0.25">
      <c r="A580" s="91" t="s">
        <v>216</v>
      </c>
      <c r="B580" s="92">
        <v>2026</v>
      </c>
      <c r="C580" s="93">
        <v>46054</v>
      </c>
      <c r="D580" s="100" t="s">
        <v>61</v>
      </c>
      <c r="E580" s="98">
        <v>1621</v>
      </c>
    </row>
    <row r="581" spans="1:5" ht="15" customHeight="1" x14ac:dyDescent="0.25">
      <c r="A581" s="91" t="s">
        <v>216</v>
      </c>
      <c r="B581" s="92">
        <v>2026</v>
      </c>
      <c r="C581" s="93">
        <v>46054</v>
      </c>
      <c r="D581" s="100" t="s">
        <v>219</v>
      </c>
      <c r="E581" s="98">
        <v>4372.5200000000004</v>
      </c>
    </row>
    <row r="582" spans="1:5" ht="15" customHeight="1" x14ac:dyDescent="0.25">
      <c r="A582" s="91" t="s">
        <v>216</v>
      </c>
      <c r="B582" s="92">
        <v>2026</v>
      </c>
      <c r="C582" s="93">
        <v>46054</v>
      </c>
      <c r="D582" s="100" t="s">
        <v>62</v>
      </c>
      <c r="E582" s="98">
        <v>680</v>
      </c>
    </row>
    <row r="583" spans="1:5" ht="15" customHeight="1" x14ac:dyDescent="0.25">
      <c r="A583" s="91" t="s">
        <v>216</v>
      </c>
      <c r="B583" s="92">
        <v>2026</v>
      </c>
      <c r="C583" s="93">
        <v>46054</v>
      </c>
      <c r="D583" s="100" t="s">
        <v>259</v>
      </c>
      <c r="E583" s="98">
        <v>2771.92</v>
      </c>
    </row>
    <row r="584" spans="1:5" ht="15" customHeight="1" x14ac:dyDescent="0.25">
      <c r="A584" s="91" t="s">
        <v>216</v>
      </c>
      <c r="B584" s="92">
        <v>2026</v>
      </c>
      <c r="C584" s="93">
        <v>46054</v>
      </c>
      <c r="D584" s="100" t="s">
        <v>63</v>
      </c>
      <c r="E584" s="98">
        <v>896.95</v>
      </c>
    </row>
    <row r="585" spans="1:5" ht="15" customHeight="1" x14ac:dyDescent="0.25">
      <c r="A585" s="91" t="s">
        <v>216</v>
      </c>
      <c r="B585" s="92">
        <v>2026</v>
      </c>
      <c r="C585" s="93">
        <v>46054</v>
      </c>
      <c r="D585" s="100" t="s">
        <v>64</v>
      </c>
      <c r="E585" s="98">
        <v>1096.4000000000001</v>
      </c>
    </row>
    <row r="586" spans="1:5" ht="15" customHeight="1" x14ac:dyDescent="0.25">
      <c r="A586" s="91" t="s">
        <v>216</v>
      </c>
      <c r="B586" s="92">
        <v>2026</v>
      </c>
      <c r="C586" s="93">
        <v>46054</v>
      </c>
      <c r="D586" s="100" t="s">
        <v>285</v>
      </c>
      <c r="E586" s="98">
        <v>1530</v>
      </c>
    </row>
    <row r="587" spans="1:5" ht="15" customHeight="1" x14ac:dyDescent="0.25">
      <c r="A587" s="91" t="s">
        <v>216</v>
      </c>
      <c r="B587" s="92">
        <v>2026</v>
      </c>
      <c r="C587" s="93">
        <v>46054</v>
      </c>
      <c r="D587" s="100" t="s">
        <v>65</v>
      </c>
      <c r="E587" s="98">
        <v>183</v>
      </c>
    </row>
    <row r="588" spans="1:5" ht="15" customHeight="1" x14ac:dyDescent="0.25">
      <c r="A588" s="91" t="s">
        <v>216</v>
      </c>
      <c r="B588" s="92">
        <v>2026</v>
      </c>
      <c r="C588" s="93">
        <v>46054</v>
      </c>
      <c r="D588" s="100" t="s">
        <v>66</v>
      </c>
      <c r="E588" s="98">
        <v>273.73</v>
      </c>
    </row>
    <row r="589" spans="1:5" ht="15" customHeight="1" x14ac:dyDescent="0.25">
      <c r="A589" s="91" t="s">
        <v>216</v>
      </c>
      <c r="B589" s="92">
        <v>2026</v>
      </c>
      <c r="C589" s="93">
        <v>46054</v>
      </c>
      <c r="D589" s="100" t="s">
        <v>67</v>
      </c>
      <c r="E589" s="98">
        <v>1166.46</v>
      </c>
    </row>
    <row r="590" spans="1:5" ht="15" customHeight="1" x14ac:dyDescent="0.25">
      <c r="A590" s="91" t="s">
        <v>216</v>
      </c>
      <c r="B590" s="92">
        <v>2026</v>
      </c>
      <c r="C590" s="93">
        <v>46054</v>
      </c>
      <c r="D590" s="100" t="s">
        <v>68</v>
      </c>
      <c r="E590" s="98">
        <v>10167.120000000001</v>
      </c>
    </row>
    <row r="591" spans="1:5" ht="15" customHeight="1" x14ac:dyDescent="0.25">
      <c r="A591" s="91" t="s">
        <v>216</v>
      </c>
      <c r="B591" s="92">
        <v>2026</v>
      </c>
      <c r="C591" s="93">
        <v>46054</v>
      </c>
      <c r="D591" s="100" t="s">
        <v>69</v>
      </c>
      <c r="E591" s="98">
        <v>52942.19</v>
      </c>
    </row>
    <row r="592" spans="1:5" ht="15" customHeight="1" x14ac:dyDescent="0.25">
      <c r="A592" s="91" t="s">
        <v>216</v>
      </c>
      <c r="B592" s="92">
        <v>2026</v>
      </c>
      <c r="C592" s="93">
        <v>46054</v>
      </c>
      <c r="D592" s="100" t="s">
        <v>232</v>
      </c>
      <c r="E592" s="98">
        <v>1711.04</v>
      </c>
    </row>
    <row r="593" spans="1:5" ht="15" customHeight="1" x14ac:dyDescent="0.25">
      <c r="A593" s="91" t="s">
        <v>216</v>
      </c>
      <c r="B593" s="92">
        <v>2026</v>
      </c>
      <c r="C593" s="93">
        <v>46054</v>
      </c>
      <c r="D593" s="100" t="s">
        <v>70</v>
      </c>
      <c r="E593" s="98">
        <v>2007.12</v>
      </c>
    </row>
    <row r="594" spans="1:5" ht="15" customHeight="1" x14ac:dyDescent="0.25">
      <c r="A594" s="91" t="s">
        <v>216</v>
      </c>
      <c r="B594" s="92">
        <v>2026</v>
      </c>
      <c r="C594" s="93">
        <v>46054</v>
      </c>
      <c r="D594" s="100" t="s">
        <v>220</v>
      </c>
      <c r="E594" s="98">
        <v>3098.19</v>
      </c>
    </row>
    <row r="595" spans="1:5" ht="15" customHeight="1" x14ac:dyDescent="0.25">
      <c r="A595" s="91" t="s">
        <v>216</v>
      </c>
      <c r="B595" s="92">
        <v>2026</v>
      </c>
      <c r="C595" s="93">
        <v>46054</v>
      </c>
      <c r="D595" s="100" t="s">
        <v>71</v>
      </c>
      <c r="E595" s="98">
        <v>29314</v>
      </c>
    </row>
    <row r="596" spans="1:5" ht="15" customHeight="1" x14ac:dyDescent="0.25">
      <c r="A596" s="91" t="s">
        <v>216</v>
      </c>
      <c r="B596" s="92">
        <v>2026</v>
      </c>
      <c r="C596" s="93">
        <v>46054</v>
      </c>
      <c r="D596" s="100" t="s">
        <v>72</v>
      </c>
      <c r="E596" s="98">
        <v>151.97999999999999</v>
      </c>
    </row>
    <row r="597" spans="1:5" ht="15" customHeight="1" x14ac:dyDescent="0.25">
      <c r="A597" s="91" t="s">
        <v>216</v>
      </c>
      <c r="B597" s="92">
        <v>2026</v>
      </c>
      <c r="C597" s="93">
        <v>46054</v>
      </c>
      <c r="D597" s="100" t="s">
        <v>431</v>
      </c>
      <c r="E597" s="98">
        <v>2584.3200000000002</v>
      </c>
    </row>
    <row r="598" spans="1:5" ht="15" customHeight="1" x14ac:dyDescent="0.25">
      <c r="A598" s="91" t="s">
        <v>216</v>
      </c>
      <c r="B598" s="92">
        <v>2026</v>
      </c>
      <c r="C598" s="93">
        <v>46054</v>
      </c>
      <c r="D598" s="100" t="s">
        <v>223</v>
      </c>
      <c r="E598" s="98">
        <v>797.6</v>
      </c>
    </row>
    <row r="599" spans="1:5" ht="15" customHeight="1" x14ac:dyDescent="0.25">
      <c r="A599" s="91" t="s">
        <v>216</v>
      </c>
      <c r="B599" s="92">
        <v>2026</v>
      </c>
      <c r="C599" s="93">
        <v>46054</v>
      </c>
      <c r="D599" s="100" t="s">
        <v>334</v>
      </c>
      <c r="E599" s="98">
        <v>2547.5700000000002</v>
      </c>
    </row>
    <row r="600" spans="1:5" ht="15" customHeight="1" x14ac:dyDescent="0.25">
      <c r="A600" s="91" t="s">
        <v>216</v>
      </c>
      <c r="B600" s="92">
        <v>2026</v>
      </c>
      <c r="C600" s="93">
        <v>46054</v>
      </c>
      <c r="D600" s="100" t="s">
        <v>73</v>
      </c>
      <c r="E600" s="98">
        <v>675.96</v>
      </c>
    </row>
    <row r="601" spans="1:5" ht="15" customHeight="1" x14ac:dyDescent="0.25">
      <c r="A601" s="91" t="s">
        <v>216</v>
      </c>
      <c r="B601" s="92">
        <v>2026</v>
      </c>
      <c r="C601" s="93">
        <v>46054</v>
      </c>
      <c r="D601" s="100" t="s">
        <v>74</v>
      </c>
      <c r="E601" s="98">
        <v>565.38</v>
      </c>
    </row>
    <row r="602" spans="1:5" ht="15" customHeight="1" x14ac:dyDescent="0.25">
      <c r="A602" s="91" t="s">
        <v>216</v>
      </c>
      <c r="B602" s="92">
        <v>2026</v>
      </c>
      <c r="C602" s="93">
        <v>46054</v>
      </c>
      <c r="D602" s="100" t="s">
        <v>224</v>
      </c>
      <c r="E602" s="98">
        <v>1994.03</v>
      </c>
    </row>
    <row r="603" spans="1:5" ht="15" customHeight="1" x14ac:dyDescent="0.25">
      <c r="A603" s="91" t="s">
        <v>216</v>
      </c>
      <c r="B603" s="92">
        <v>2026</v>
      </c>
      <c r="C603" s="93">
        <v>46054</v>
      </c>
      <c r="D603" s="100" t="s">
        <v>226</v>
      </c>
      <c r="E603" s="98">
        <v>137.47999999999999</v>
      </c>
    </row>
    <row r="604" spans="1:5" ht="15" customHeight="1" x14ac:dyDescent="0.25">
      <c r="A604" s="91" t="s">
        <v>355</v>
      </c>
      <c r="B604" s="92">
        <v>2026</v>
      </c>
      <c r="C604" s="93">
        <v>46054</v>
      </c>
      <c r="D604" s="100" t="s">
        <v>436</v>
      </c>
      <c r="E604" s="98">
        <v>6200</v>
      </c>
    </row>
    <row r="605" spans="1:5" ht="15" customHeight="1" x14ac:dyDescent="0.25">
      <c r="A605" s="91" t="s">
        <v>355</v>
      </c>
      <c r="B605" s="92">
        <v>2026</v>
      </c>
      <c r="C605" s="93">
        <v>46054</v>
      </c>
      <c r="D605" s="100" t="s">
        <v>219</v>
      </c>
      <c r="E605" s="98">
        <v>9165.06</v>
      </c>
    </row>
    <row r="606" spans="1:5" ht="15" customHeight="1" x14ac:dyDescent="0.25">
      <c r="A606" s="91" t="s">
        <v>355</v>
      </c>
      <c r="B606" s="92">
        <v>2026</v>
      </c>
      <c r="C606" s="93">
        <v>46054</v>
      </c>
      <c r="D606" s="100" t="s">
        <v>285</v>
      </c>
      <c r="E606" s="98">
        <v>2000</v>
      </c>
    </row>
    <row r="607" spans="1:5" ht="15" customHeight="1" x14ac:dyDescent="0.25">
      <c r="A607" s="91" t="s">
        <v>355</v>
      </c>
      <c r="B607" s="92">
        <v>2026</v>
      </c>
      <c r="C607" s="93">
        <v>46054</v>
      </c>
      <c r="D607" s="100" t="s">
        <v>437</v>
      </c>
      <c r="E607" s="98">
        <v>129</v>
      </c>
    </row>
    <row r="608" spans="1:5" ht="15" customHeight="1" x14ac:dyDescent="0.25">
      <c r="A608" s="91" t="s">
        <v>51</v>
      </c>
      <c r="B608" s="92">
        <v>2026</v>
      </c>
      <c r="C608" s="93">
        <v>46082</v>
      </c>
      <c r="D608" s="100" t="s">
        <v>75</v>
      </c>
      <c r="E608" s="98">
        <v>285</v>
      </c>
    </row>
    <row r="609" spans="1:5" ht="15" customHeight="1" x14ac:dyDescent="0.25">
      <c r="A609" s="91" t="s">
        <v>51</v>
      </c>
      <c r="B609" s="92">
        <v>2026</v>
      </c>
      <c r="C609" s="93">
        <v>46082</v>
      </c>
      <c r="D609" s="100" t="s">
        <v>58</v>
      </c>
      <c r="E609" s="98">
        <v>4693.6099999999997</v>
      </c>
    </row>
    <row r="610" spans="1:5" ht="15" customHeight="1" x14ac:dyDescent="0.25">
      <c r="A610" s="91" t="s">
        <v>51</v>
      </c>
      <c r="B610" s="92">
        <v>2026</v>
      </c>
      <c r="C610" s="93">
        <v>46082</v>
      </c>
      <c r="D610" s="100" t="s">
        <v>198</v>
      </c>
      <c r="E610" s="98">
        <v>47.1</v>
      </c>
    </row>
    <row r="611" spans="1:5" ht="15" customHeight="1" x14ac:dyDescent="0.25">
      <c r="A611" s="91" t="s">
        <v>51</v>
      </c>
      <c r="B611" s="92">
        <v>2026</v>
      </c>
      <c r="C611" s="93">
        <v>46082</v>
      </c>
      <c r="D611" s="100" t="s">
        <v>76</v>
      </c>
      <c r="E611" s="98">
        <v>450.67</v>
      </c>
    </row>
    <row r="612" spans="1:5" ht="15" customHeight="1" x14ac:dyDescent="0.25">
      <c r="A612" s="91" t="s">
        <v>51</v>
      </c>
      <c r="B612" s="92">
        <v>2026</v>
      </c>
      <c r="C612" s="93">
        <v>46082</v>
      </c>
      <c r="D612" s="100" t="s">
        <v>436</v>
      </c>
      <c r="E612" s="98">
        <v>18720</v>
      </c>
    </row>
    <row r="613" spans="1:5" ht="15" customHeight="1" x14ac:dyDescent="0.25">
      <c r="A613" s="91" t="s">
        <v>51</v>
      </c>
      <c r="B613" s="92">
        <v>2026</v>
      </c>
      <c r="C613" s="93">
        <v>46082</v>
      </c>
      <c r="D613" s="100" t="s">
        <v>60</v>
      </c>
      <c r="E613" s="98">
        <v>77.59</v>
      </c>
    </row>
    <row r="614" spans="1:5" ht="15" customHeight="1" x14ac:dyDescent="0.25">
      <c r="A614" s="91" t="s">
        <v>51</v>
      </c>
      <c r="B614" s="92">
        <v>2026</v>
      </c>
      <c r="C614" s="93">
        <v>46082</v>
      </c>
      <c r="D614" s="100" t="s">
        <v>61</v>
      </c>
      <c r="E614" s="98">
        <v>1621</v>
      </c>
    </row>
    <row r="615" spans="1:5" ht="15" customHeight="1" x14ac:dyDescent="0.25">
      <c r="A615" s="91" t="s">
        <v>51</v>
      </c>
      <c r="B615" s="92">
        <v>2026</v>
      </c>
      <c r="C615" s="93">
        <v>46082</v>
      </c>
      <c r="D615" s="100" t="s">
        <v>62</v>
      </c>
      <c r="E615" s="98">
        <v>1374.57</v>
      </c>
    </row>
    <row r="616" spans="1:5" ht="15" customHeight="1" x14ac:dyDescent="0.25">
      <c r="A616" s="91" t="s">
        <v>51</v>
      </c>
      <c r="B616" s="92">
        <v>2026</v>
      </c>
      <c r="C616" s="93">
        <v>46082</v>
      </c>
      <c r="D616" s="100" t="s">
        <v>63</v>
      </c>
      <c r="E616" s="98">
        <v>223</v>
      </c>
    </row>
    <row r="617" spans="1:5" ht="15" customHeight="1" x14ac:dyDescent="0.25">
      <c r="A617" s="91" t="s">
        <v>51</v>
      </c>
      <c r="B617" s="92">
        <v>2026</v>
      </c>
      <c r="C617" s="93">
        <v>46082</v>
      </c>
      <c r="D617" s="100" t="s">
        <v>64</v>
      </c>
      <c r="E617" s="98">
        <v>806</v>
      </c>
    </row>
    <row r="618" spans="1:5" ht="15" customHeight="1" x14ac:dyDescent="0.25">
      <c r="A618" s="91" t="s">
        <v>51</v>
      </c>
      <c r="B618" s="92">
        <v>2026</v>
      </c>
      <c r="C618" s="93">
        <v>46082</v>
      </c>
      <c r="D618" s="100" t="s">
        <v>65</v>
      </c>
      <c r="E618" s="98">
        <v>179.9</v>
      </c>
    </row>
    <row r="619" spans="1:5" ht="15" customHeight="1" x14ac:dyDescent="0.25">
      <c r="A619" s="91" t="s">
        <v>51</v>
      </c>
      <c r="B619" s="92">
        <v>2026</v>
      </c>
      <c r="C619" s="93">
        <v>46082</v>
      </c>
      <c r="D619" s="100" t="s">
        <v>66</v>
      </c>
      <c r="E619" s="98">
        <v>185.54</v>
      </c>
    </row>
    <row r="620" spans="1:5" ht="15" customHeight="1" x14ac:dyDescent="0.25">
      <c r="A620" s="91" t="s">
        <v>51</v>
      </c>
      <c r="B620" s="92">
        <v>2026</v>
      </c>
      <c r="C620" s="93">
        <v>46082</v>
      </c>
      <c r="D620" s="100" t="s">
        <v>67</v>
      </c>
      <c r="E620" s="98">
        <v>390.81</v>
      </c>
    </row>
    <row r="621" spans="1:5" ht="15" customHeight="1" x14ac:dyDescent="0.25">
      <c r="A621" s="91" t="s">
        <v>51</v>
      </c>
      <c r="B621" s="92">
        <v>2026</v>
      </c>
      <c r="C621" s="93">
        <v>46082</v>
      </c>
      <c r="D621" s="100" t="s">
        <v>68</v>
      </c>
      <c r="E621" s="98">
        <v>341.05</v>
      </c>
    </row>
    <row r="622" spans="1:5" ht="15" customHeight="1" x14ac:dyDescent="0.25">
      <c r="A622" s="91" t="s">
        <v>51</v>
      </c>
      <c r="B622" s="92">
        <v>2026</v>
      </c>
      <c r="C622" s="93">
        <v>46082</v>
      </c>
      <c r="D622" s="100" t="s">
        <v>69</v>
      </c>
      <c r="E622" s="98">
        <v>168.46</v>
      </c>
    </row>
    <row r="623" spans="1:5" ht="15" customHeight="1" x14ac:dyDescent="0.25">
      <c r="A623" s="91" t="s">
        <v>51</v>
      </c>
      <c r="B623" s="92">
        <v>2026</v>
      </c>
      <c r="C623" s="93">
        <v>46082</v>
      </c>
      <c r="D623" s="100" t="s">
        <v>180</v>
      </c>
      <c r="E623" s="98">
        <v>4429.24</v>
      </c>
    </row>
    <row r="624" spans="1:5" ht="15" customHeight="1" x14ac:dyDescent="0.25">
      <c r="A624" s="91" t="s">
        <v>51</v>
      </c>
      <c r="B624" s="92">
        <v>2026</v>
      </c>
      <c r="C624" s="93">
        <v>46082</v>
      </c>
      <c r="D624" s="100" t="s">
        <v>194</v>
      </c>
      <c r="E624" s="98">
        <v>111.87</v>
      </c>
    </row>
    <row r="625" spans="1:5" ht="15" customHeight="1" x14ac:dyDescent="0.25">
      <c r="A625" s="91" t="s">
        <v>51</v>
      </c>
      <c r="B625" s="92">
        <v>2026</v>
      </c>
      <c r="C625" s="93">
        <v>46082</v>
      </c>
      <c r="D625" s="100" t="s">
        <v>70</v>
      </c>
      <c r="E625" s="98">
        <v>2045.6</v>
      </c>
    </row>
    <row r="626" spans="1:5" ht="15" customHeight="1" x14ac:dyDescent="0.25">
      <c r="A626" s="91" t="s">
        <v>51</v>
      </c>
      <c r="B626" s="92">
        <v>2026</v>
      </c>
      <c r="C626" s="93">
        <v>46082</v>
      </c>
      <c r="D626" s="100" t="s">
        <v>71</v>
      </c>
      <c r="E626" s="98">
        <v>47814</v>
      </c>
    </row>
    <row r="627" spans="1:5" ht="15" customHeight="1" x14ac:dyDescent="0.25">
      <c r="A627" s="91" t="s">
        <v>51</v>
      </c>
      <c r="B627" s="92">
        <v>2026</v>
      </c>
      <c r="C627" s="93">
        <v>46082</v>
      </c>
      <c r="D627" s="100" t="s">
        <v>72</v>
      </c>
      <c r="E627" s="98">
        <v>765.67</v>
      </c>
    </row>
    <row r="628" spans="1:5" ht="15" customHeight="1" x14ac:dyDescent="0.25">
      <c r="A628" s="91" t="s">
        <v>51</v>
      </c>
      <c r="B628" s="92">
        <v>2026</v>
      </c>
      <c r="C628" s="93">
        <v>46082</v>
      </c>
      <c r="D628" s="100" t="s">
        <v>73</v>
      </c>
      <c r="E628" s="98">
        <v>675.96</v>
      </c>
    </row>
    <row r="629" spans="1:5" ht="15" customHeight="1" x14ac:dyDescent="0.25">
      <c r="A629" s="91" t="s">
        <v>51</v>
      </c>
      <c r="B629" s="92">
        <v>2026</v>
      </c>
      <c r="C629" s="93">
        <v>46082</v>
      </c>
      <c r="D629" s="100" t="s">
        <v>74</v>
      </c>
      <c r="E629" s="98">
        <v>283.8</v>
      </c>
    </row>
    <row r="630" spans="1:5" ht="15" customHeight="1" x14ac:dyDescent="0.25">
      <c r="A630" s="91" t="s">
        <v>216</v>
      </c>
      <c r="B630" s="92">
        <v>2026</v>
      </c>
      <c r="C630" s="93">
        <v>46082</v>
      </c>
      <c r="D630" s="100" t="s">
        <v>217</v>
      </c>
      <c r="E630" s="98">
        <v>314.7</v>
      </c>
    </row>
    <row r="631" spans="1:5" ht="15" customHeight="1" x14ac:dyDescent="0.25">
      <c r="A631" s="91" t="s">
        <v>216</v>
      </c>
      <c r="B631" s="92">
        <v>2026</v>
      </c>
      <c r="C631" s="93">
        <v>46082</v>
      </c>
      <c r="D631" s="100" t="s">
        <v>302</v>
      </c>
      <c r="E631" s="98">
        <v>2500</v>
      </c>
    </row>
    <row r="632" spans="1:5" ht="15" customHeight="1" x14ac:dyDescent="0.25">
      <c r="A632" s="91" t="s">
        <v>216</v>
      </c>
      <c r="B632" s="92">
        <v>2026</v>
      </c>
      <c r="C632" s="93">
        <v>46082</v>
      </c>
      <c r="D632" s="100" t="s">
        <v>192</v>
      </c>
      <c r="E632" s="98">
        <v>3224.79</v>
      </c>
    </row>
    <row r="633" spans="1:5" ht="15" customHeight="1" x14ac:dyDescent="0.25">
      <c r="A633" s="91" t="s">
        <v>216</v>
      </c>
      <c r="B633" s="92">
        <v>2026</v>
      </c>
      <c r="C633" s="93">
        <v>46082</v>
      </c>
      <c r="D633" s="100" t="s">
        <v>76</v>
      </c>
      <c r="E633" s="98">
        <v>10565.59</v>
      </c>
    </row>
    <row r="634" spans="1:5" ht="15" customHeight="1" x14ac:dyDescent="0.25">
      <c r="A634" s="91" t="s">
        <v>216</v>
      </c>
      <c r="B634" s="92">
        <v>2026</v>
      </c>
      <c r="C634" s="93">
        <v>46082</v>
      </c>
      <c r="D634" s="100" t="s">
        <v>60</v>
      </c>
      <c r="E634" s="98">
        <v>1067.31</v>
      </c>
    </row>
    <row r="635" spans="1:5" ht="15" customHeight="1" x14ac:dyDescent="0.25">
      <c r="A635" s="91" t="s">
        <v>216</v>
      </c>
      <c r="B635" s="92">
        <v>2026</v>
      </c>
      <c r="C635" s="93">
        <v>46082</v>
      </c>
      <c r="D635" s="100" t="s">
        <v>463</v>
      </c>
      <c r="E635" s="98">
        <v>265.42</v>
      </c>
    </row>
    <row r="636" spans="1:5" ht="15" customHeight="1" x14ac:dyDescent="0.25">
      <c r="A636" s="91" t="s">
        <v>216</v>
      </c>
      <c r="B636" s="92">
        <v>2026</v>
      </c>
      <c r="C636" s="93">
        <v>46082</v>
      </c>
      <c r="D636" s="100" t="s">
        <v>379</v>
      </c>
      <c r="E636" s="98">
        <v>7240.81</v>
      </c>
    </row>
    <row r="637" spans="1:5" ht="15" customHeight="1" x14ac:dyDescent="0.25">
      <c r="A637" s="91" t="s">
        <v>216</v>
      </c>
      <c r="B637" s="92">
        <v>2026</v>
      </c>
      <c r="C637" s="93">
        <v>46082</v>
      </c>
      <c r="D637" s="100" t="s">
        <v>61</v>
      </c>
      <c r="E637" s="98">
        <v>1621</v>
      </c>
    </row>
    <row r="638" spans="1:5" ht="15" customHeight="1" x14ac:dyDescent="0.25">
      <c r="A638" s="91" t="s">
        <v>216</v>
      </c>
      <c r="B638" s="92">
        <v>2026</v>
      </c>
      <c r="C638" s="93">
        <v>46082</v>
      </c>
      <c r="D638" s="100" t="s">
        <v>219</v>
      </c>
      <c r="E638" s="98">
        <v>3831.26</v>
      </c>
    </row>
    <row r="639" spans="1:5" ht="15" customHeight="1" x14ac:dyDescent="0.25">
      <c r="A639" s="91" t="s">
        <v>216</v>
      </c>
      <c r="B639" s="92">
        <v>2026</v>
      </c>
      <c r="C639" s="93">
        <v>46082</v>
      </c>
      <c r="D639" s="100" t="s">
        <v>259</v>
      </c>
      <c r="E639" s="98">
        <v>830.01</v>
      </c>
    </row>
    <row r="640" spans="1:5" ht="15" customHeight="1" x14ac:dyDescent="0.25">
      <c r="A640" s="91" t="s">
        <v>216</v>
      </c>
      <c r="B640" s="92">
        <v>2026</v>
      </c>
      <c r="C640" s="93">
        <v>46082</v>
      </c>
      <c r="D640" s="100" t="s">
        <v>63</v>
      </c>
      <c r="E640" s="98">
        <v>896.95</v>
      </c>
    </row>
    <row r="641" spans="1:5" ht="15" customHeight="1" x14ac:dyDescent="0.25">
      <c r="A641" s="91" t="s">
        <v>216</v>
      </c>
      <c r="B641" s="92">
        <v>2026</v>
      </c>
      <c r="C641" s="93">
        <v>46082</v>
      </c>
      <c r="D641" s="100" t="s">
        <v>64</v>
      </c>
      <c r="E641" s="98">
        <v>1537.68</v>
      </c>
    </row>
    <row r="642" spans="1:5" ht="15" customHeight="1" x14ac:dyDescent="0.25">
      <c r="A642" s="91" t="s">
        <v>216</v>
      </c>
      <c r="B642" s="92">
        <v>2026</v>
      </c>
      <c r="C642" s="93">
        <v>46082</v>
      </c>
      <c r="D642" s="100" t="s">
        <v>285</v>
      </c>
      <c r="E642" s="98">
        <v>3927.88</v>
      </c>
    </row>
    <row r="643" spans="1:5" ht="15" customHeight="1" x14ac:dyDescent="0.25">
      <c r="A643" s="91" t="s">
        <v>216</v>
      </c>
      <c r="B643" s="92">
        <v>2026</v>
      </c>
      <c r="C643" s="93">
        <v>46082</v>
      </c>
      <c r="D643" s="100" t="s">
        <v>65</v>
      </c>
      <c r="E643" s="98">
        <v>182.76</v>
      </c>
    </row>
    <row r="644" spans="1:5" ht="15" customHeight="1" x14ac:dyDescent="0.25">
      <c r="A644" s="91" t="s">
        <v>216</v>
      </c>
      <c r="B644" s="92">
        <v>2026</v>
      </c>
      <c r="C644" s="93">
        <v>46082</v>
      </c>
      <c r="D644" s="100" t="s">
        <v>66</v>
      </c>
      <c r="E644" s="98">
        <v>596.71</v>
      </c>
    </row>
    <row r="645" spans="1:5" ht="15" customHeight="1" x14ac:dyDescent="0.25">
      <c r="A645" s="91" t="s">
        <v>216</v>
      </c>
      <c r="B645" s="92">
        <v>2026</v>
      </c>
      <c r="C645" s="93">
        <v>46082</v>
      </c>
      <c r="D645" s="100" t="s">
        <v>67</v>
      </c>
      <c r="E645" s="98">
        <v>533.32000000000005</v>
      </c>
    </row>
    <row r="646" spans="1:5" ht="15" customHeight="1" x14ac:dyDescent="0.25">
      <c r="A646" s="91" t="s">
        <v>216</v>
      </c>
      <c r="B646" s="92">
        <v>2026</v>
      </c>
      <c r="C646" s="93">
        <v>46082</v>
      </c>
      <c r="D646" s="100" t="s">
        <v>68</v>
      </c>
      <c r="E646" s="98">
        <v>54.29</v>
      </c>
    </row>
    <row r="647" spans="1:5" ht="15" customHeight="1" x14ac:dyDescent="0.25">
      <c r="A647" s="91" t="s">
        <v>216</v>
      </c>
      <c r="B647" s="92">
        <v>2026</v>
      </c>
      <c r="C647" s="93">
        <v>46082</v>
      </c>
      <c r="D647" s="100" t="s">
        <v>464</v>
      </c>
      <c r="E647" s="98">
        <v>8250</v>
      </c>
    </row>
    <row r="648" spans="1:5" ht="15" customHeight="1" x14ac:dyDescent="0.25">
      <c r="A648" s="91" t="s">
        <v>216</v>
      </c>
      <c r="B648" s="92">
        <v>2026</v>
      </c>
      <c r="C648" s="93">
        <v>46082</v>
      </c>
      <c r="D648" s="100" t="s">
        <v>69</v>
      </c>
      <c r="E648" s="98">
        <v>51052.38</v>
      </c>
    </row>
    <row r="649" spans="1:5" ht="15" customHeight="1" x14ac:dyDescent="0.25">
      <c r="A649" s="91" t="s">
        <v>216</v>
      </c>
      <c r="B649" s="92">
        <v>2026</v>
      </c>
      <c r="C649" s="93">
        <v>46082</v>
      </c>
      <c r="D649" s="100" t="s">
        <v>180</v>
      </c>
      <c r="E649" s="98">
        <v>5703.13</v>
      </c>
    </row>
    <row r="650" spans="1:5" ht="15" customHeight="1" x14ac:dyDescent="0.25">
      <c r="A650" s="91" t="s">
        <v>216</v>
      </c>
      <c r="B650" s="92">
        <v>2026</v>
      </c>
      <c r="C650" s="93">
        <v>46082</v>
      </c>
      <c r="D650" s="100" t="s">
        <v>70</v>
      </c>
      <c r="E650" s="98">
        <v>75.209999999999994</v>
      </c>
    </row>
    <row r="651" spans="1:5" ht="15" customHeight="1" x14ac:dyDescent="0.25">
      <c r="A651" s="91" t="s">
        <v>216</v>
      </c>
      <c r="B651" s="92">
        <v>2026</v>
      </c>
      <c r="C651" s="93">
        <v>46082</v>
      </c>
      <c r="D651" s="100" t="s">
        <v>220</v>
      </c>
      <c r="E651" s="98">
        <v>3113.79</v>
      </c>
    </row>
    <row r="652" spans="1:5" ht="15" customHeight="1" x14ac:dyDescent="0.25">
      <c r="A652" s="91" t="s">
        <v>216</v>
      </c>
      <c r="B652" s="92">
        <v>2026</v>
      </c>
      <c r="C652" s="93">
        <v>46082</v>
      </c>
      <c r="D652" s="100" t="s">
        <v>71</v>
      </c>
      <c r="E652" s="98">
        <v>8274</v>
      </c>
    </row>
    <row r="653" spans="1:5" ht="15" customHeight="1" x14ac:dyDescent="0.25">
      <c r="A653" s="91" t="s">
        <v>216</v>
      </c>
      <c r="B653" s="92">
        <v>2026</v>
      </c>
      <c r="C653" s="93">
        <v>46082</v>
      </c>
      <c r="D653" s="100" t="s">
        <v>465</v>
      </c>
      <c r="E653" s="98">
        <v>623.07000000000005</v>
      </c>
    </row>
    <row r="654" spans="1:5" ht="15" customHeight="1" x14ac:dyDescent="0.25">
      <c r="A654" s="91" t="s">
        <v>216</v>
      </c>
      <c r="B654" s="92">
        <v>2026</v>
      </c>
      <c r="C654" s="93">
        <v>46082</v>
      </c>
      <c r="D654" s="100" t="s">
        <v>223</v>
      </c>
      <c r="E654" s="98">
        <v>1337.6</v>
      </c>
    </row>
    <row r="655" spans="1:5" ht="15" customHeight="1" x14ac:dyDescent="0.25">
      <c r="A655" s="91" t="s">
        <v>216</v>
      </c>
      <c r="B655" s="92">
        <v>2026</v>
      </c>
      <c r="C655" s="93">
        <v>46082</v>
      </c>
      <c r="D655" s="100" t="s">
        <v>334</v>
      </c>
      <c r="E655" s="98">
        <v>2547.5700000000002</v>
      </c>
    </row>
    <row r="656" spans="1:5" ht="15" customHeight="1" x14ac:dyDescent="0.25">
      <c r="A656" s="91" t="s">
        <v>216</v>
      </c>
      <c r="B656" s="92">
        <v>2026</v>
      </c>
      <c r="C656" s="93">
        <v>46082</v>
      </c>
      <c r="D656" s="100" t="s">
        <v>286</v>
      </c>
      <c r="E656" s="98">
        <v>6641.98</v>
      </c>
    </row>
    <row r="657" spans="1:5" ht="15" customHeight="1" x14ac:dyDescent="0.25">
      <c r="A657" s="91" t="s">
        <v>216</v>
      </c>
      <c r="B657" s="92">
        <v>2026</v>
      </c>
      <c r="C657" s="93">
        <v>46082</v>
      </c>
      <c r="D657" s="100" t="s">
        <v>73</v>
      </c>
      <c r="E657" s="98">
        <v>675.96</v>
      </c>
    </row>
    <row r="658" spans="1:5" ht="15" customHeight="1" x14ac:dyDescent="0.25">
      <c r="A658" s="91" t="s">
        <v>216</v>
      </c>
      <c r="B658" s="92">
        <v>2026</v>
      </c>
      <c r="C658" s="93">
        <v>46082</v>
      </c>
      <c r="D658" s="100" t="s">
        <v>74</v>
      </c>
      <c r="E658" s="98">
        <v>292.98</v>
      </c>
    </row>
    <row r="659" spans="1:5" ht="15" customHeight="1" x14ac:dyDescent="0.25">
      <c r="A659" s="91" t="s">
        <v>216</v>
      </c>
      <c r="B659" s="92">
        <v>2026</v>
      </c>
      <c r="C659" s="93">
        <v>46082</v>
      </c>
      <c r="D659" s="100" t="s">
        <v>224</v>
      </c>
      <c r="E659" s="98">
        <v>800</v>
      </c>
    </row>
    <row r="660" spans="1:5" ht="15" customHeight="1" x14ac:dyDescent="0.25">
      <c r="A660" s="91" t="s">
        <v>216</v>
      </c>
      <c r="B660" s="92">
        <v>2026</v>
      </c>
      <c r="C660" s="93">
        <v>46082</v>
      </c>
      <c r="D660" s="100" t="s">
        <v>226</v>
      </c>
      <c r="E660" s="98">
        <v>137.47999999999999</v>
      </c>
    </row>
    <row r="661" spans="1:5" ht="15" customHeight="1" x14ac:dyDescent="0.25">
      <c r="A661" s="91" t="s">
        <v>355</v>
      </c>
      <c r="B661" s="92">
        <v>2026</v>
      </c>
      <c r="C661" s="93">
        <v>46082</v>
      </c>
      <c r="D661" s="100" t="s">
        <v>192</v>
      </c>
      <c r="E661" s="98">
        <v>21385.53</v>
      </c>
    </row>
    <row r="662" spans="1:5" ht="15" customHeight="1" x14ac:dyDescent="0.25">
      <c r="A662" s="91" t="s">
        <v>355</v>
      </c>
      <c r="B662" s="92">
        <v>2026</v>
      </c>
      <c r="C662" s="93">
        <v>46082</v>
      </c>
      <c r="D662" s="100" t="s">
        <v>436</v>
      </c>
      <c r="E662" s="98">
        <v>21688.6</v>
      </c>
    </row>
    <row r="663" spans="1:5" ht="15" customHeight="1" x14ac:dyDescent="0.25">
      <c r="A663" s="91" t="s">
        <v>355</v>
      </c>
      <c r="B663" s="92">
        <v>2026</v>
      </c>
      <c r="C663" s="93">
        <v>46082</v>
      </c>
      <c r="D663" s="100" t="s">
        <v>57</v>
      </c>
      <c r="E663" s="98">
        <v>675</v>
      </c>
    </row>
    <row r="664" spans="1:5" ht="15.75" thickBot="1" x14ac:dyDescent="0.3">
      <c r="A664" s="88" t="s">
        <v>54</v>
      </c>
      <c r="B664" s="89"/>
      <c r="C664" s="89"/>
      <c r="D664" s="89"/>
      <c r="E664" s="95">
        <f>SUBTOTAL(109,BD_DESP[Valor])</f>
        <v>4404361.3599999975</v>
      </c>
    </row>
  </sheetData>
  <phoneticPr fontId="32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42"/>
  <sheetViews>
    <sheetView showGridLines="0" topLeftCell="A21" zoomScaleNormal="100" workbookViewId="0">
      <selection activeCell="E33" sqref="E33"/>
    </sheetView>
  </sheetViews>
  <sheetFormatPr defaultColWidth="8.5703125" defaultRowHeight="15" x14ac:dyDescent="0.25"/>
  <cols>
    <col min="2" max="2" width="27.85546875" bestFit="1" customWidth="1"/>
    <col min="3" max="3" width="16" bestFit="1" customWidth="1"/>
    <col min="4" max="4" width="12.140625" bestFit="1" customWidth="1"/>
    <col min="5" max="5" width="27.85546875" bestFit="1" customWidth="1"/>
    <col min="6" max="6" width="10.140625" bestFit="1" customWidth="1"/>
    <col min="7" max="7" width="9.42578125" bestFit="1" customWidth="1"/>
    <col min="8" max="8" width="27.85546875" bestFit="1" customWidth="1"/>
    <col min="9" max="9" width="12.5703125" bestFit="1" customWidth="1"/>
    <col min="10" max="10" width="11.5703125" bestFit="1" customWidth="1"/>
    <col min="11" max="11" width="13.28515625" bestFit="1" customWidth="1"/>
    <col min="12" max="12" width="10.42578125" bestFit="1" customWidth="1"/>
    <col min="13" max="13" width="8.85546875" bestFit="1" customWidth="1"/>
    <col min="14" max="14" width="13.42578125" bestFit="1" customWidth="1"/>
    <col min="15" max="15" width="11.7109375" bestFit="1" customWidth="1"/>
  </cols>
  <sheetData>
    <row r="1" spans="2:15" ht="15.75" thickBot="1" x14ac:dyDescent="0.3"/>
    <row r="2" spans="2:15" ht="15.75" thickBot="1" x14ac:dyDescent="0.3">
      <c r="B2" s="110" t="s">
        <v>118</v>
      </c>
      <c r="C2" s="111"/>
      <c r="E2" s="112" t="s">
        <v>119</v>
      </c>
      <c r="F2" s="113"/>
      <c r="H2" s="114" t="s">
        <v>51</v>
      </c>
      <c r="I2" s="115"/>
    </row>
    <row r="3" spans="2:15" x14ac:dyDescent="0.25">
      <c r="B3" s="105" t="s">
        <v>122</v>
      </c>
      <c r="C3" s="105"/>
      <c r="E3" s="105" t="s">
        <v>122</v>
      </c>
      <c r="F3" s="105"/>
      <c r="H3" s="105" t="s">
        <v>122</v>
      </c>
      <c r="I3" s="105"/>
    </row>
    <row r="4" spans="2:15" x14ac:dyDescent="0.25">
      <c r="B4" s="51" t="s">
        <v>4</v>
      </c>
      <c r="C4" s="52">
        <f>BD_LUCRO[[#Totals],[Lucro Bruto]]</f>
        <v>8741030.8999999985</v>
      </c>
      <c r="E4" s="51" t="s">
        <v>4</v>
      </c>
      <c r="F4" s="52"/>
      <c r="H4" s="51" t="s">
        <v>4</v>
      </c>
      <c r="I4" s="52"/>
    </row>
    <row r="5" spans="2:15" x14ac:dyDescent="0.25">
      <c r="B5" s="51" t="s">
        <v>5</v>
      </c>
      <c r="C5" s="53">
        <f>-BD_LUCRO[[#Totals],[Total Frete]]</f>
        <v>-3417848.7999999993</v>
      </c>
      <c r="E5" s="51" t="s">
        <v>5</v>
      </c>
      <c r="F5" s="53"/>
      <c r="H5" s="51" t="s">
        <v>5</v>
      </c>
      <c r="I5" s="53"/>
    </row>
    <row r="6" spans="2:15" x14ac:dyDescent="0.25">
      <c r="B6" s="51" t="s">
        <v>79</v>
      </c>
      <c r="C6" s="53">
        <f>-BD_LUCRO[[#Totals],[Impostos]]</f>
        <v>-68115.559999999983</v>
      </c>
      <c r="E6" s="51" t="s">
        <v>79</v>
      </c>
      <c r="F6" s="53"/>
      <c r="H6" s="51" t="s">
        <v>79</v>
      </c>
      <c r="I6" s="53"/>
    </row>
    <row r="7" spans="2:15" x14ac:dyDescent="0.25">
      <c r="B7" s="51" t="s">
        <v>7</v>
      </c>
      <c r="C7" s="53">
        <f>-BD_LUCRO[[#Totals],[Comissão]]</f>
        <v>-1981067.4799999995</v>
      </c>
      <c r="E7" s="51" t="s">
        <v>7</v>
      </c>
      <c r="F7" s="53"/>
      <c r="H7" s="51" t="s">
        <v>7</v>
      </c>
      <c r="I7" s="53"/>
    </row>
    <row r="8" spans="2:15" x14ac:dyDescent="0.25">
      <c r="B8" s="54" t="s">
        <v>8</v>
      </c>
      <c r="C8" s="55">
        <f>BD_LUCRO[[#Totals],[Lucro Líq.]]</f>
        <v>5475200.5899999971</v>
      </c>
      <c r="E8" s="54" t="s">
        <v>8</v>
      </c>
      <c r="F8" s="55"/>
      <c r="H8" s="54" t="s">
        <v>8</v>
      </c>
      <c r="I8" s="55"/>
    </row>
    <row r="9" spans="2:15" x14ac:dyDescent="0.25">
      <c r="B9" s="51" t="s">
        <v>9</v>
      </c>
      <c r="C9" s="56">
        <f>-BD_DESP[[#Totals],[Valor]]</f>
        <v>-4404361.3599999975</v>
      </c>
      <c r="E9" s="51" t="s">
        <v>9</v>
      </c>
      <c r="F9" s="56"/>
      <c r="H9" s="51" t="s">
        <v>9</v>
      </c>
      <c r="I9" s="56"/>
    </row>
    <row r="10" spans="2:15" x14ac:dyDescent="0.25">
      <c r="B10" s="54" t="s">
        <v>10</v>
      </c>
      <c r="C10" s="55">
        <f>C8+C9</f>
        <v>1070839.2299999995</v>
      </c>
      <c r="E10" s="54" t="s">
        <v>10</v>
      </c>
      <c r="F10" s="55">
        <f>F8+F9</f>
        <v>0</v>
      </c>
      <c r="H10" s="54" t="s">
        <v>10</v>
      </c>
      <c r="I10" s="55">
        <f>I8+I9</f>
        <v>0</v>
      </c>
    </row>
    <row r="12" spans="2:15" ht="15.75" x14ac:dyDescent="0.25">
      <c r="B12" s="108" t="s">
        <v>121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</row>
    <row r="13" spans="2:15" ht="24" x14ac:dyDescent="0.25">
      <c r="B13" s="57" t="s">
        <v>16</v>
      </c>
      <c r="C13" s="57" t="s">
        <v>80</v>
      </c>
      <c r="D13" s="57" t="s">
        <v>81</v>
      </c>
      <c r="E13" s="57" t="s">
        <v>42</v>
      </c>
      <c r="F13" s="57" t="s">
        <v>43</v>
      </c>
      <c r="G13" s="57" t="s">
        <v>82</v>
      </c>
      <c r="H13" s="57" t="s">
        <v>83</v>
      </c>
      <c r="I13" s="57" t="s">
        <v>84</v>
      </c>
      <c r="J13" s="57" t="s">
        <v>85</v>
      </c>
      <c r="K13" s="57" t="s">
        <v>86</v>
      </c>
      <c r="L13" s="57" t="s">
        <v>87</v>
      </c>
      <c r="M13" s="57" t="s">
        <v>88</v>
      </c>
      <c r="N13" s="57" t="s">
        <v>89</v>
      </c>
      <c r="O13" s="57" t="s">
        <v>90</v>
      </c>
    </row>
    <row r="14" spans="2:15" x14ac:dyDescent="0.25">
      <c r="B14" s="58" t="s">
        <v>91</v>
      </c>
      <c r="C14" s="59">
        <f>COUNTIFS(BD_LUCRO[Mês],$B14)</f>
        <v>20</v>
      </c>
      <c r="D14" s="60">
        <f>SUMIFS(BD_LUCRO[Peso Kg],BD_LUCRO[Mês],$B14)</f>
        <v>1405762</v>
      </c>
      <c r="E14" s="60">
        <f>SUMIFS(BD_LUCRO[Lucro Bruto],BD_LUCRO[Mês],$B14)</f>
        <v>396032.24999999983</v>
      </c>
      <c r="F14" s="60">
        <f>SUMIFS(BD_LUCRO[Total Frete],BD_LUCRO[Mês],$B14)</f>
        <v>103059.8</v>
      </c>
      <c r="G14" s="60">
        <f>SUMIFS(BD_LUCRO[Impostos],BD_LUCRO[Mês],$B14)</f>
        <v>11250.02</v>
      </c>
      <c r="H14" s="60">
        <f>SUMIFS(BD_LUCRO[Comissão],BD_LUCRO[Mês],$B14)</f>
        <v>18245.080000000005</v>
      </c>
      <c r="I14" s="60">
        <f>SUMIFS(BD_LUCRO[Lucro Líq.],BD_LUCRO[Mês],$B14)</f>
        <v>259819.54</v>
      </c>
      <c r="J14" s="60">
        <f>SUMIFS(BD_DESP[Valor],BD_DESP[Mês],$B14)</f>
        <v>277928.94000000012</v>
      </c>
      <c r="K14" s="60">
        <f t="shared" ref="K14:K25" si="0">I14-J14</f>
        <v>-18109.400000000111</v>
      </c>
      <c r="L14" s="61">
        <f t="shared" ref="L14:L26" si="1">IF(E14&lt;&gt;0,(E14-F14-G14-H14)/E14,0)</f>
        <v>0.66529266240312479</v>
      </c>
      <c r="M14" s="61">
        <f t="shared" ref="M14:M26" si="2">IF(E14&lt;&gt;0,K14/E14,0)</f>
        <v>-4.5727084094793084E-2</v>
      </c>
      <c r="N14" s="62" t="str">
        <f>IF(COUNTIFS(BD_LUCRO[Mês],$B14)=0,"N/A",IF(K14&gt;=0,"✅ POSITIVO","❌ NEGATIVO"))</f>
        <v>❌ NEGATIVO</v>
      </c>
      <c r="O14" s="63" t="s">
        <v>92</v>
      </c>
    </row>
    <row r="15" spans="2:15" x14ac:dyDescent="0.25">
      <c r="B15" s="64" t="s">
        <v>93</v>
      </c>
      <c r="C15" s="59">
        <f>COUNTIFS(BD_LUCRO[Mês],$B15)</f>
        <v>36</v>
      </c>
      <c r="D15" s="60">
        <f>SUMIFS(BD_LUCRO[Peso Kg],BD_LUCRO[Mês],$B15)</f>
        <v>3191522</v>
      </c>
      <c r="E15" s="60">
        <f>SUMIFS(BD_LUCRO[Lucro Bruto],BD_LUCRO[Mês],$B15)</f>
        <v>598649.68999999983</v>
      </c>
      <c r="F15" s="60">
        <f>SUMIFS(BD_LUCRO[Total Frete],BD_LUCRO[Mês],$B15)</f>
        <v>37740.199999999997</v>
      </c>
      <c r="G15" s="60">
        <f>SUMIFS(BD_LUCRO[Impostos],BD_LUCRO[Mês],$B15)</f>
        <v>48781.219999999994</v>
      </c>
      <c r="H15" s="60">
        <f>SUMIFS(BD_LUCRO[Comissão],BD_LUCRO[Mês],$B15)</f>
        <v>67058.530000000013</v>
      </c>
      <c r="I15" s="60">
        <f>SUMIFS(BD_LUCRO[Lucro Líq.],BD_LUCRO[Mês],$B15)</f>
        <v>566766.60000000021</v>
      </c>
      <c r="J15" s="60">
        <f>SUMIFS(BD_DESP[Valor],BD_DESP[Mês],$B15)</f>
        <v>190770.48000000004</v>
      </c>
      <c r="K15" s="60">
        <f t="shared" si="0"/>
        <v>375996.12000000017</v>
      </c>
      <c r="L15" s="61">
        <f t="shared" si="1"/>
        <v>0.74345606025453714</v>
      </c>
      <c r="M15" s="61">
        <f t="shared" si="2"/>
        <v>0.62807369030793325</v>
      </c>
      <c r="N15" s="62" t="str">
        <f>IF(COUNTIFS(BD_LUCRO[Mês],$B15)=0,"N/A",IF(K15&gt;=0,"✅ POSITIVO","❌ NEGATIVO"))</f>
        <v>✅ POSITIVO</v>
      </c>
      <c r="O15" s="65">
        <f t="shared" ref="O15:O25" si="3">IF(C15=0,0,IF(OR(C14=0,K14=0),0,(K15-K14)/ABS(K14)))</f>
        <v>21.762483572067428</v>
      </c>
    </row>
    <row r="16" spans="2:15" x14ac:dyDescent="0.25">
      <c r="B16" s="58" t="s">
        <v>94</v>
      </c>
      <c r="C16" s="59">
        <f>COUNTIFS(BD_LUCRO[Mês],$B16)</f>
        <v>21</v>
      </c>
      <c r="D16" s="60">
        <f>SUMIFS(BD_LUCRO[Peso Kg],BD_LUCRO[Mês],$B16)</f>
        <v>4055398</v>
      </c>
      <c r="E16" s="60">
        <f>SUMIFS(BD_LUCRO[Lucro Bruto],BD_LUCRO[Mês],$B16)</f>
        <v>780396.29</v>
      </c>
      <c r="F16" s="60">
        <f>SUMIFS(BD_LUCRO[Total Frete],BD_LUCRO[Mês],$B16)</f>
        <v>17877</v>
      </c>
      <c r="G16" s="60">
        <f>SUMIFS(BD_LUCRO[Impostos],BD_LUCRO[Mês],$B16)</f>
        <v>802.35</v>
      </c>
      <c r="H16" s="60">
        <f>SUMIFS(BD_LUCRO[Comissão],BD_LUCRO[Mês],$B16)</f>
        <v>69624.03</v>
      </c>
      <c r="I16" s="60">
        <f>SUMIFS(BD_LUCRO[Lucro Líq.],BD_LUCRO[Mês],$B16)</f>
        <v>448539.01</v>
      </c>
      <c r="J16" s="60">
        <f>SUMIFS(BD_DESP[Valor],BD_DESP[Mês],$B16)</f>
        <v>258155.20000000004</v>
      </c>
      <c r="K16" s="60">
        <f t="shared" si="0"/>
        <v>190383.80999999997</v>
      </c>
      <c r="L16" s="61">
        <f t="shared" si="1"/>
        <v>0.88684802691719611</v>
      </c>
      <c r="M16" s="61">
        <f t="shared" si="2"/>
        <v>0.24395786146036133</v>
      </c>
      <c r="N16" s="62" t="str">
        <f>IF(COUNTIFS(BD_LUCRO[Mês],$B16)=0,"N/A",IF(K16&gt;=0,"✅ POSITIVO","❌ NEGATIVO"))</f>
        <v>✅ POSITIVO</v>
      </c>
      <c r="O16" s="65">
        <f t="shared" si="3"/>
        <v>-0.49365485473626725</v>
      </c>
    </row>
    <row r="17" spans="2:15" x14ac:dyDescent="0.25">
      <c r="B17" s="64" t="s">
        <v>95</v>
      </c>
      <c r="C17" s="59">
        <f>COUNTIFS(BD_LUCRO[Mês],$B17)</f>
        <v>0</v>
      </c>
      <c r="D17" s="60">
        <f>SUMIFS(BD_LUCRO[Peso Kg],BD_LUCRO[Mês],$B17)</f>
        <v>0</v>
      </c>
      <c r="E17" s="60">
        <f>SUMIFS(BD_LUCRO[Lucro Bruto],BD_LUCRO[Mês],$B17)</f>
        <v>0</v>
      </c>
      <c r="F17" s="60">
        <f>SUMIFS(BD_LUCRO[Total Frete],BD_LUCRO[Mês],$B17)</f>
        <v>0</v>
      </c>
      <c r="G17" s="60">
        <f>SUMIFS(BD_LUCRO[Impostos],BD_LUCRO[Mês],$B17)</f>
        <v>0</v>
      </c>
      <c r="H17" s="60">
        <f>SUMIFS(BD_LUCRO[Comissão],BD_LUCRO[Mês],$B17)</f>
        <v>0</v>
      </c>
      <c r="I17" s="60">
        <f>SUMIFS(BD_LUCRO[Lucro Líq.],BD_LUCRO[Mês],$B17)</f>
        <v>0</v>
      </c>
      <c r="J17" s="60">
        <f>SUMIFS(BD_DESP[Valor],BD_DESP[Mês],$B17)</f>
        <v>0</v>
      </c>
      <c r="K17" s="60">
        <f t="shared" si="0"/>
        <v>0</v>
      </c>
      <c r="L17" s="61">
        <f t="shared" si="1"/>
        <v>0</v>
      </c>
      <c r="M17" s="61">
        <f t="shared" si="2"/>
        <v>0</v>
      </c>
      <c r="N17" s="62" t="str">
        <f>IF(COUNTIFS(BD_LUCRO[Mês],$B17)=0,"N/A",IF(K17&gt;=0,"✅ POSITIVO","❌ NEGATIVO"))</f>
        <v>N/A</v>
      </c>
      <c r="O17" s="65">
        <f t="shared" si="3"/>
        <v>0</v>
      </c>
    </row>
    <row r="18" spans="2:15" x14ac:dyDescent="0.25">
      <c r="B18" s="58" t="s">
        <v>96</v>
      </c>
      <c r="C18" s="59">
        <f>COUNTIFS(BD_LUCRO[Mês],$B18)</f>
        <v>0</v>
      </c>
      <c r="D18" s="60">
        <f>SUMIFS(BD_LUCRO[Peso Kg],BD_LUCRO[Mês],$B18)</f>
        <v>0</v>
      </c>
      <c r="E18" s="60">
        <f>SUMIFS(BD_LUCRO[Lucro Bruto],BD_LUCRO[Mês],$B18)</f>
        <v>0</v>
      </c>
      <c r="F18" s="60">
        <f>SUMIFS(BD_LUCRO[Total Frete],BD_LUCRO[Mês],$B18)</f>
        <v>0</v>
      </c>
      <c r="G18" s="60">
        <f>SUMIFS(BD_LUCRO[Impostos],BD_LUCRO[Mês],$B18)</f>
        <v>0</v>
      </c>
      <c r="H18" s="60">
        <f>SUMIFS(BD_LUCRO[Comissão],BD_LUCRO[Mês],$B18)</f>
        <v>0</v>
      </c>
      <c r="I18" s="60">
        <f>SUMIFS(BD_LUCRO[Lucro Líq.],BD_LUCRO[Mês],$B18)</f>
        <v>0</v>
      </c>
      <c r="J18" s="60">
        <f>SUMIFS(BD_DESP[Valor],BD_DESP[Mês],$B18)</f>
        <v>0</v>
      </c>
      <c r="K18" s="60">
        <f t="shared" si="0"/>
        <v>0</v>
      </c>
      <c r="L18" s="61">
        <f t="shared" si="1"/>
        <v>0</v>
      </c>
      <c r="M18" s="61">
        <f t="shared" si="2"/>
        <v>0</v>
      </c>
      <c r="N18" s="62" t="str">
        <f>IF(COUNTIFS(BD_LUCRO[Mês],$B18)=0,"N/A",IF(K18&gt;=0,"✅ POSITIVO","❌ NEGATIVO"))</f>
        <v>N/A</v>
      </c>
      <c r="O18" s="65">
        <f t="shared" si="3"/>
        <v>0</v>
      </c>
    </row>
    <row r="19" spans="2:15" x14ac:dyDescent="0.25">
      <c r="B19" s="64" t="s">
        <v>97</v>
      </c>
      <c r="C19" s="59">
        <f>COUNTIFS(BD_LUCRO[Mês],$B19)</f>
        <v>0</v>
      </c>
      <c r="D19" s="60">
        <f>SUMIFS(BD_LUCRO[Peso Kg],BD_LUCRO[Mês],$B19)</f>
        <v>0</v>
      </c>
      <c r="E19" s="60">
        <f>SUMIFS(BD_LUCRO[Lucro Bruto],BD_LUCRO[Mês],$B19)</f>
        <v>0</v>
      </c>
      <c r="F19" s="60">
        <f>SUMIFS(BD_LUCRO[Total Frete],BD_LUCRO[Mês],$B19)</f>
        <v>0</v>
      </c>
      <c r="G19" s="60">
        <f>SUMIFS(BD_LUCRO[Impostos],BD_LUCRO[Mês],$B19)</f>
        <v>0</v>
      </c>
      <c r="H19" s="60">
        <f>SUMIFS(BD_LUCRO[Comissão],BD_LUCRO[Mês],$B19)</f>
        <v>0</v>
      </c>
      <c r="I19" s="60">
        <f>SUMIFS(BD_LUCRO[Lucro Líq.],BD_LUCRO[Mês],$B19)</f>
        <v>0</v>
      </c>
      <c r="J19" s="60">
        <f>SUMIFS(BD_DESP[Valor],BD_DESP[Mês],$B19)</f>
        <v>0</v>
      </c>
      <c r="K19" s="60">
        <f t="shared" si="0"/>
        <v>0</v>
      </c>
      <c r="L19" s="61">
        <f t="shared" si="1"/>
        <v>0</v>
      </c>
      <c r="M19" s="61">
        <f t="shared" si="2"/>
        <v>0</v>
      </c>
      <c r="N19" s="62" t="str">
        <f>IF(COUNTIFS(BD_LUCRO[Mês],$B19)=0,"N/A",IF(K19&gt;=0,"✅ POSITIVO","❌ NEGATIVO"))</f>
        <v>N/A</v>
      </c>
      <c r="O19" s="65">
        <f t="shared" si="3"/>
        <v>0</v>
      </c>
    </row>
    <row r="20" spans="2:15" x14ac:dyDescent="0.25">
      <c r="B20" s="58" t="s">
        <v>98</v>
      </c>
      <c r="C20" s="59">
        <f>COUNTIFS(BD_LUCRO[Mês],$B20)</f>
        <v>0</v>
      </c>
      <c r="D20" s="60">
        <f>SUMIFS(BD_LUCRO[Peso Kg],BD_LUCRO[Mês],$B20)</f>
        <v>0</v>
      </c>
      <c r="E20" s="60">
        <f>SUMIFS(BD_LUCRO[Lucro Bruto],BD_LUCRO[Mês],$B20)</f>
        <v>0</v>
      </c>
      <c r="F20" s="60">
        <f>SUMIFS(BD_LUCRO[Total Frete],BD_LUCRO[Mês],$B20)</f>
        <v>0</v>
      </c>
      <c r="G20" s="60">
        <f>SUMIFS(BD_LUCRO[Impostos],BD_LUCRO[Mês],$B20)</f>
        <v>0</v>
      </c>
      <c r="H20" s="60">
        <f>SUMIFS(BD_LUCRO[Comissão],BD_LUCRO[Mês],$B20)</f>
        <v>0</v>
      </c>
      <c r="I20" s="60">
        <f>SUMIFS(BD_LUCRO[Lucro Líq.],BD_LUCRO[Mês],$B20)</f>
        <v>0</v>
      </c>
      <c r="J20" s="60">
        <f>SUMIFS(BD_DESP[Valor],BD_DESP[Mês],$B20)</f>
        <v>0</v>
      </c>
      <c r="K20" s="60">
        <f t="shared" si="0"/>
        <v>0</v>
      </c>
      <c r="L20" s="61">
        <f t="shared" si="1"/>
        <v>0</v>
      </c>
      <c r="M20" s="61">
        <f t="shared" si="2"/>
        <v>0</v>
      </c>
      <c r="N20" s="62" t="str">
        <f>IF(COUNTIFS(BD_LUCRO[Mês],$B20)=0,"N/A",IF(K20&gt;=0,"✅ POSITIVO","❌ NEGATIVO"))</f>
        <v>N/A</v>
      </c>
      <c r="O20" s="65">
        <f t="shared" si="3"/>
        <v>0</v>
      </c>
    </row>
    <row r="21" spans="2:15" x14ac:dyDescent="0.25">
      <c r="B21" s="64" t="s">
        <v>99</v>
      </c>
      <c r="C21" s="59">
        <f>COUNTIFS(BD_LUCRO[Mês],$B21)</f>
        <v>0</v>
      </c>
      <c r="D21" s="60">
        <f>SUMIFS(BD_LUCRO[Peso Kg],BD_LUCRO[Mês],$B21)</f>
        <v>0</v>
      </c>
      <c r="E21" s="60">
        <f>SUMIFS(BD_LUCRO[Lucro Bruto],BD_LUCRO[Mês],$B21)</f>
        <v>0</v>
      </c>
      <c r="F21" s="60">
        <f>SUMIFS(BD_LUCRO[Total Frete],BD_LUCRO[Mês],$B21)</f>
        <v>0</v>
      </c>
      <c r="G21" s="60">
        <f>SUMIFS(BD_LUCRO[Impostos],BD_LUCRO[Mês],$B21)</f>
        <v>0</v>
      </c>
      <c r="H21" s="60">
        <f>SUMIFS(BD_LUCRO[Comissão],BD_LUCRO[Mês],$B21)</f>
        <v>0</v>
      </c>
      <c r="I21" s="60">
        <f>SUMIFS(BD_LUCRO[Lucro Líq.],BD_LUCRO[Mês],$B21)</f>
        <v>0</v>
      </c>
      <c r="J21" s="60">
        <f>SUMIFS(BD_DESP[Valor],BD_DESP[Mês],$B21)</f>
        <v>0</v>
      </c>
      <c r="K21" s="60">
        <f t="shared" si="0"/>
        <v>0</v>
      </c>
      <c r="L21" s="61">
        <f t="shared" si="1"/>
        <v>0</v>
      </c>
      <c r="M21" s="61">
        <f t="shared" si="2"/>
        <v>0</v>
      </c>
      <c r="N21" s="62" t="str">
        <f>IF(COUNTIFS(BD_LUCRO[Mês],$B21)=0,"N/A",IF(K21&gt;=0,"✅ POSITIVO","❌ NEGATIVO"))</f>
        <v>N/A</v>
      </c>
      <c r="O21" s="65">
        <f t="shared" si="3"/>
        <v>0</v>
      </c>
    </row>
    <row r="22" spans="2:15" x14ac:dyDescent="0.25">
      <c r="B22" s="58" t="s">
        <v>100</v>
      </c>
      <c r="C22" s="59">
        <f>COUNTIFS(BD_LUCRO[Mês],$B22)</f>
        <v>0</v>
      </c>
      <c r="D22" s="60">
        <f>SUMIFS(BD_LUCRO[Peso Kg],BD_LUCRO[Mês],$B22)</f>
        <v>0</v>
      </c>
      <c r="E22" s="60">
        <f>SUMIFS(BD_LUCRO[Lucro Bruto],BD_LUCRO[Mês],$B22)</f>
        <v>0</v>
      </c>
      <c r="F22" s="60">
        <f>SUMIFS(BD_LUCRO[Total Frete],BD_LUCRO[Mês],$B22)</f>
        <v>0</v>
      </c>
      <c r="G22" s="60">
        <f>SUMIFS(BD_LUCRO[Impostos],BD_LUCRO[Mês],$B22)</f>
        <v>0</v>
      </c>
      <c r="H22" s="60">
        <f>SUMIFS(BD_LUCRO[Comissão],BD_LUCRO[Mês],$B22)</f>
        <v>0</v>
      </c>
      <c r="I22" s="60">
        <f>SUMIFS(BD_LUCRO[Lucro Líq.],BD_LUCRO[Mês],$B22)</f>
        <v>0</v>
      </c>
      <c r="J22" s="60">
        <f>SUMIFS(BD_DESP[Valor],BD_DESP[Mês],$B22)</f>
        <v>0</v>
      </c>
      <c r="K22" s="60">
        <f t="shared" si="0"/>
        <v>0</v>
      </c>
      <c r="L22" s="61">
        <f t="shared" si="1"/>
        <v>0</v>
      </c>
      <c r="M22" s="61">
        <f t="shared" si="2"/>
        <v>0</v>
      </c>
      <c r="N22" s="62" t="str">
        <f>IF(COUNTIFS(BD_LUCRO[Mês],$B22)=0,"N/A",IF(K22&gt;=0,"✅ POSITIVO","❌ NEGATIVO"))</f>
        <v>N/A</v>
      </c>
      <c r="O22" s="65">
        <f t="shared" si="3"/>
        <v>0</v>
      </c>
    </row>
    <row r="23" spans="2:15" x14ac:dyDescent="0.25">
      <c r="B23" s="64" t="s">
        <v>101</v>
      </c>
      <c r="C23" s="59">
        <f>COUNTIFS(BD_LUCRO[Mês],$B23)</f>
        <v>0</v>
      </c>
      <c r="D23" s="60">
        <f>SUMIFS(BD_LUCRO[Peso Kg],BD_LUCRO[Mês],$B23)</f>
        <v>0</v>
      </c>
      <c r="E23" s="60">
        <f>SUMIFS(BD_LUCRO[Lucro Bruto],BD_LUCRO[Mês],$B23)</f>
        <v>0</v>
      </c>
      <c r="F23" s="60">
        <f>SUMIFS(BD_LUCRO[Total Frete],BD_LUCRO[Mês],$B23)</f>
        <v>0</v>
      </c>
      <c r="G23" s="60">
        <f>SUMIFS(BD_LUCRO[Impostos],BD_LUCRO[Mês],$B23)</f>
        <v>0</v>
      </c>
      <c r="H23" s="60">
        <f>SUMIFS(BD_LUCRO[Comissão],BD_LUCRO[Mês],$B23)</f>
        <v>0</v>
      </c>
      <c r="I23" s="60">
        <f>SUMIFS(BD_LUCRO[Lucro Líq.],BD_LUCRO[Mês],$B23)</f>
        <v>0</v>
      </c>
      <c r="J23" s="60">
        <f>SUMIFS(BD_DESP[Valor],BD_DESP[Mês],$B23)</f>
        <v>0</v>
      </c>
      <c r="K23" s="60">
        <f t="shared" si="0"/>
        <v>0</v>
      </c>
      <c r="L23" s="61">
        <f t="shared" si="1"/>
        <v>0</v>
      </c>
      <c r="M23" s="61">
        <f t="shared" si="2"/>
        <v>0</v>
      </c>
      <c r="N23" s="62" t="str">
        <f>IF(COUNTIFS(BD_LUCRO[Mês],$B23)=0,"N/A",IF(K23&gt;=0,"✅ POSITIVO","❌ NEGATIVO"))</f>
        <v>N/A</v>
      </c>
      <c r="O23" s="65">
        <f t="shared" si="3"/>
        <v>0</v>
      </c>
    </row>
    <row r="24" spans="2:15" x14ac:dyDescent="0.25">
      <c r="B24" s="58" t="s">
        <v>102</v>
      </c>
      <c r="C24" s="59">
        <f>COUNTIFS(BD_LUCRO[Mês],$B24)</f>
        <v>0</v>
      </c>
      <c r="D24" s="60">
        <f>SUMIFS(BD_LUCRO[Peso Kg],BD_LUCRO[Mês],$B24)</f>
        <v>0</v>
      </c>
      <c r="E24" s="60">
        <f>SUMIFS(BD_LUCRO[Lucro Bruto],BD_LUCRO[Mês],$B24)</f>
        <v>0</v>
      </c>
      <c r="F24" s="60">
        <f>SUMIFS(BD_LUCRO[Total Frete],BD_LUCRO[Mês],$B24)</f>
        <v>0</v>
      </c>
      <c r="G24" s="60">
        <f>SUMIFS(BD_LUCRO[Impostos],BD_LUCRO[Mês],$B24)</f>
        <v>0</v>
      </c>
      <c r="H24" s="60">
        <f>SUMIFS(BD_LUCRO[Comissão],BD_LUCRO[Mês],$B24)</f>
        <v>0</v>
      </c>
      <c r="I24" s="60">
        <f>SUMIFS(BD_LUCRO[Lucro Líq.],BD_LUCRO[Mês],$B24)</f>
        <v>0</v>
      </c>
      <c r="J24" s="60">
        <f>SUMIFS(BD_DESP[Valor],BD_DESP[Mês],$B24)</f>
        <v>0</v>
      </c>
      <c r="K24" s="60">
        <f t="shared" si="0"/>
        <v>0</v>
      </c>
      <c r="L24" s="61">
        <f t="shared" si="1"/>
        <v>0</v>
      </c>
      <c r="M24" s="61">
        <f t="shared" si="2"/>
        <v>0</v>
      </c>
      <c r="N24" s="62" t="str">
        <f>IF(COUNTIFS(BD_LUCRO[Mês],$B24)=0,"N/A",IF(K24&gt;=0,"✅ POSITIVO","❌ NEGATIVO"))</f>
        <v>N/A</v>
      </c>
      <c r="O24" s="65">
        <f t="shared" si="3"/>
        <v>0</v>
      </c>
    </row>
    <row r="25" spans="2:15" x14ac:dyDescent="0.25">
      <c r="B25" s="64" t="s">
        <v>103</v>
      </c>
      <c r="C25" s="59">
        <f>COUNTIFS(BD_LUCRO[Mês],$B25)</f>
        <v>0</v>
      </c>
      <c r="D25" s="60">
        <f>SUMIFS(BD_LUCRO[Peso Kg],BD_LUCRO[Mês],$B25)</f>
        <v>0</v>
      </c>
      <c r="E25" s="60">
        <f>SUMIFS(BD_LUCRO[Lucro Bruto],BD_LUCRO[Mês],$B25)</f>
        <v>0</v>
      </c>
      <c r="F25" s="60">
        <f>SUMIFS(BD_LUCRO[Total Frete],BD_LUCRO[Mês],$B25)</f>
        <v>0</v>
      </c>
      <c r="G25" s="60">
        <f>SUMIFS(BD_LUCRO[Impostos],BD_LUCRO[Mês],$B25)</f>
        <v>0</v>
      </c>
      <c r="H25" s="60">
        <f>SUMIFS(BD_LUCRO[Comissão],BD_LUCRO[Mês],$B25)</f>
        <v>0</v>
      </c>
      <c r="I25" s="60">
        <f>SUMIFS(BD_LUCRO[Lucro Líq.],BD_LUCRO[Mês],$B25)</f>
        <v>0</v>
      </c>
      <c r="J25" s="60">
        <f>SUMIFS(BD_DESP[Valor],BD_DESP[Mês],$B25)</f>
        <v>0</v>
      </c>
      <c r="K25" s="60">
        <f t="shared" si="0"/>
        <v>0</v>
      </c>
      <c r="L25" s="61">
        <f t="shared" si="1"/>
        <v>0</v>
      </c>
      <c r="M25" s="61">
        <f t="shared" si="2"/>
        <v>0</v>
      </c>
      <c r="N25" s="62" t="str">
        <f>IF(COUNTIFS(BD_LUCRO[Mês],$B25)=0,"N/A",IF(K25&gt;=0,"✅ POSITIVO","❌ NEGATIVO"))</f>
        <v>N/A</v>
      </c>
      <c r="O25" s="65">
        <f t="shared" si="3"/>
        <v>0</v>
      </c>
    </row>
    <row r="26" spans="2:15" x14ac:dyDescent="0.25">
      <c r="B26" s="66" t="s">
        <v>104</v>
      </c>
      <c r="C26" s="67">
        <f t="shared" ref="C26:K26" si="4">SUM(C14:C25)</f>
        <v>77</v>
      </c>
      <c r="D26" s="67">
        <f t="shared" si="4"/>
        <v>8652682</v>
      </c>
      <c r="E26" s="68">
        <f t="shared" si="4"/>
        <v>1775078.2299999997</v>
      </c>
      <c r="F26" s="68">
        <f t="shared" si="4"/>
        <v>158677</v>
      </c>
      <c r="G26" s="68">
        <f t="shared" si="4"/>
        <v>60833.589999999989</v>
      </c>
      <c r="H26" s="68">
        <f t="shared" si="4"/>
        <v>154927.64000000001</v>
      </c>
      <c r="I26" s="68">
        <f t="shared" si="4"/>
        <v>1275125.1500000004</v>
      </c>
      <c r="J26" s="68">
        <f t="shared" si="4"/>
        <v>726854.62000000023</v>
      </c>
      <c r="K26" s="68">
        <f t="shared" si="4"/>
        <v>548270.53</v>
      </c>
      <c r="L26" s="69">
        <f t="shared" si="1"/>
        <v>0.78905818139632067</v>
      </c>
      <c r="M26" s="69">
        <f t="shared" si="2"/>
        <v>0.30887119267977281</v>
      </c>
      <c r="N26" s="74" t="str">
        <f>IF(K26&gt;=0,"✅ POSITIVO","❌ NEGATIVO")</f>
        <v>✅ POSITIVO</v>
      </c>
      <c r="O26" s="69" t="s">
        <v>92</v>
      </c>
    </row>
    <row r="28" spans="2:15" ht="15.75" x14ac:dyDescent="0.25">
      <c r="B28" s="106" t="s">
        <v>120</v>
      </c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</row>
    <row r="29" spans="2:15" ht="24" x14ac:dyDescent="0.25">
      <c r="B29" s="70" t="s">
        <v>16</v>
      </c>
      <c r="C29" s="70" t="s">
        <v>80</v>
      </c>
      <c r="D29" s="70" t="s">
        <v>81</v>
      </c>
      <c r="E29" s="70" t="s">
        <v>42</v>
      </c>
      <c r="F29" s="70" t="s">
        <v>43</v>
      </c>
      <c r="G29" s="70" t="s">
        <v>82</v>
      </c>
      <c r="H29" s="70" t="s">
        <v>83</v>
      </c>
      <c r="I29" s="70" t="s">
        <v>84</v>
      </c>
      <c r="J29" s="70" t="s">
        <v>85</v>
      </c>
      <c r="K29" s="70" t="s">
        <v>86</v>
      </c>
      <c r="L29" s="70" t="s">
        <v>87</v>
      </c>
      <c r="M29" s="70" t="s">
        <v>88</v>
      </c>
      <c r="N29" s="70" t="s">
        <v>89</v>
      </c>
      <c r="O29" s="70" t="s">
        <v>90</v>
      </c>
    </row>
    <row r="30" spans="2:15" x14ac:dyDescent="0.25">
      <c r="B30" s="71" t="s">
        <v>105</v>
      </c>
      <c r="C30" s="59">
        <f>COUNTIFS(BD_LUCRO[Mês],$B30)</f>
        <v>5</v>
      </c>
      <c r="D30" s="60">
        <f>SUMIFS(BD_LUCRO[Peso Kg],BD_LUCRO[Mês],$B30)</f>
        <v>1446450</v>
      </c>
      <c r="E30" s="60">
        <f>SUMIFS(BD_LUCRO[Lucro Bruto],BD_LUCRO[Mês],$B30)</f>
        <v>347078.94000000006</v>
      </c>
      <c r="F30" s="60">
        <f>SUMIFS(BD_LUCRO[Total Frete],BD_LUCRO[Mês],$B30)</f>
        <v>212796.84</v>
      </c>
      <c r="G30" s="60">
        <f>SUMIFS(BD_LUCRO[Impostos],BD_LUCRO[Mês],$B30)</f>
        <v>3518.06</v>
      </c>
      <c r="H30" s="60">
        <f>SUMIFS(BD_LUCRO[Comissão],BD_LUCRO[Mês],$B30)</f>
        <v>11539.869999999999</v>
      </c>
      <c r="I30" s="60">
        <f>SUMIFS(BD_LUCRO[Lucro Líq.],BD_LUCRO[Mês],$B30)</f>
        <v>106231.70000000001</v>
      </c>
      <c r="J30" s="60">
        <f>SUMIFS(BD_DESP[Valor],BD_DESP[Mês],$B30)</f>
        <v>267317.76999999996</v>
      </c>
      <c r="K30" s="60">
        <f t="shared" ref="K30" si="5">I30-J30</f>
        <v>-161086.06999999995</v>
      </c>
      <c r="L30" s="61">
        <f t="shared" ref="L30" si="6">IF(E30&lt;&gt;0,(E30-F30-G30-H30)/E30,0)</f>
        <v>0.3435073588734599</v>
      </c>
      <c r="M30" s="61">
        <f t="shared" ref="M30" si="7">IF(E30&lt;&gt;0,K30/E30,0)</f>
        <v>-0.46411940177067479</v>
      </c>
      <c r="N30" s="62" t="str">
        <f>IF(COUNTIFS(BD_LUCRO[Mês],$B30)=0,"N/A",IF(K30&gt;=0,"✅ POSITIVO","❌ NEGATIVO"))</f>
        <v>❌ NEGATIVO</v>
      </c>
      <c r="O30" s="63" t="s">
        <v>92</v>
      </c>
    </row>
    <row r="31" spans="2:15" x14ac:dyDescent="0.25">
      <c r="B31" s="72" t="s">
        <v>106</v>
      </c>
      <c r="C31" s="59">
        <f>COUNTIFS(BD_LUCRO[Mês],$B31)</f>
        <v>13</v>
      </c>
      <c r="D31" s="60">
        <f>SUMIFS(BD_LUCRO[Peso Kg],BD_LUCRO[Mês],$B31)</f>
        <v>1787495</v>
      </c>
      <c r="E31" s="60">
        <f>SUMIFS(BD_LUCRO[Lucro Bruto],BD_LUCRO[Mês],$B31)</f>
        <v>781745.28000000026</v>
      </c>
      <c r="F31" s="60">
        <f>SUMIFS(BD_LUCRO[Total Frete],BD_LUCRO[Mês],$B31)</f>
        <v>0</v>
      </c>
      <c r="G31" s="60">
        <f>SUMIFS(BD_LUCRO[Impostos],BD_LUCRO[Mês],$B31)</f>
        <v>1064.5999999999999</v>
      </c>
      <c r="H31" s="60">
        <f>SUMIFS(BD_LUCRO[Comissão],BD_LUCRO[Mês],$B31)</f>
        <v>13556.839999999998</v>
      </c>
      <c r="I31" s="60">
        <f>SUMIFS(BD_LUCRO[Lucro Líq.],BD_LUCRO[Mês],$B31)</f>
        <v>716883.39999999991</v>
      </c>
      <c r="J31" s="60">
        <f>SUMIFS(BD_DESP[Valor],BD_DESP[Mês],$B31)</f>
        <v>142974.87</v>
      </c>
      <c r="K31" s="60">
        <f t="shared" ref="K31:K41" si="8">I31-J31</f>
        <v>573908.52999999991</v>
      </c>
      <c r="L31" s="61">
        <f t="shared" ref="L31:L42" si="9">IF(E31&lt;&gt;0,(E31-F31-G31-H31)/E31,0)</f>
        <v>0.98129641409539448</v>
      </c>
      <c r="M31" s="61">
        <f t="shared" ref="M31:M42" si="10">IF(E31&lt;&gt;0,K31/E31,0)</f>
        <v>0.73413750576146708</v>
      </c>
      <c r="N31" s="62" t="str">
        <f>IF(COUNTIFS(BD_LUCRO[Mês],$B31)=0,"N/A",IF(K31&gt;=0,"✅ POSITIVO","❌ NEGATIVO"))</f>
        <v>✅ POSITIVO</v>
      </c>
      <c r="O31" s="73">
        <f t="shared" ref="O31:O41" si="11">IF(K30&lt;&gt;0,(K31-K30)/ABS(K30),0)</f>
        <v>4.5627446246593522</v>
      </c>
    </row>
    <row r="32" spans="2:15" x14ac:dyDescent="0.25">
      <c r="B32" s="71" t="s">
        <v>107</v>
      </c>
      <c r="C32" s="59">
        <f>COUNTIFS(BD_LUCRO[Mês],$B32)</f>
        <v>18</v>
      </c>
      <c r="D32" s="60">
        <f>SUMIFS(BD_LUCRO[Peso Kg],BD_LUCRO[Mês],$B32)</f>
        <v>3981807</v>
      </c>
      <c r="E32" s="60">
        <f>SUMIFS(BD_LUCRO[Lucro Bruto],BD_LUCRO[Mês],$B32)</f>
        <v>1689267.9600000004</v>
      </c>
      <c r="F32" s="60">
        <f>SUMIFS(BD_LUCRO[Total Frete],BD_LUCRO[Mês],$B32)</f>
        <v>432839.6</v>
      </c>
      <c r="G32" s="60">
        <f>SUMIFS(BD_LUCRO[Impostos],BD_LUCRO[Mês],$B32)</f>
        <v>0</v>
      </c>
      <c r="H32" s="60">
        <f>SUMIFS(BD_LUCRO[Comissão],BD_LUCRO[Mês],$B32)</f>
        <v>99575.07</v>
      </c>
      <c r="I32" s="60">
        <f>SUMIFS(BD_LUCRO[Lucro Líq.],BD_LUCRO[Mês],$B32)</f>
        <v>1154496.8399999999</v>
      </c>
      <c r="J32" s="60">
        <f>SUMIFS(BD_DESP[Valor],BD_DESP[Mês],$B32)</f>
        <v>180047.93000000005</v>
      </c>
      <c r="K32" s="60">
        <f t="shared" si="8"/>
        <v>974448.9099999998</v>
      </c>
      <c r="L32" s="61">
        <f t="shared" si="9"/>
        <v>0.68482521269153773</v>
      </c>
      <c r="M32" s="61">
        <f t="shared" si="10"/>
        <v>0.57684685501286581</v>
      </c>
      <c r="N32" s="62" t="str">
        <f>IF(COUNTIFS(BD_LUCRO[Mês],$B32)=0,"N/A",IF(K32&gt;=0,"✅ POSITIVO","❌ NEGATIVO"))</f>
        <v>✅ POSITIVO</v>
      </c>
      <c r="O32" s="27">
        <f t="shared" si="11"/>
        <v>0.69791675687413102</v>
      </c>
    </row>
    <row r="33" spans="2:15" x14ac:dyDescent="0.25">
      <c r="B33" s="72" t="s">
        <v>108</v>
      </c>
      <c r="C33" s="59">
        <f>COUNTIFS(BD_LUCRO[Mês],$B33)</f>
        <v>13</v>
      </c>
      <c r="D33" s="60">
        <f>SUMIFS(BD_LUCRO[Peso Kg],BD_LUCRO[Mês],$B33)</f>
        <v>4701587</v>
      </c>
      <c r="E33" s="60">
        <f>SUMIFS(BD_LUCRO[Lucro Bruto],BD_LUCRO[Mês],$B33)</f>
        <v>1264396.5700000003</v>
      </c>
      <c r="F33" s="60">
        <f>SUMIFS(BD_LUCRO[Total Frete],BD_LUCRO[Mês],$B33)</f>
        <v>623905.37999999989</v>
      </c>
      <c r="G33" s="60">
        <f>SUMIFS(BD_LUCRO[Impostos],BD_LUCRO[Mês],$B33)</f>
        <v>0</v>
      </c>
      <c r="H33" s="60">
        <f>SUMIFS(BD_LUCRO[Comissão],BD_LUCRO[Mês],$B33)</f>
        <v>140516.20999999996</v>
      </c>
      <c r="I33" s="60">
        <f>SUMIFS(BD_LUCRO[Lucro Líq.],BD_LUCRO[Mês],$B33)</f>
        <v>499270.09</v>
      </c>
      <c r="J33" s="60">
        <f>SUMIFS(BD_DESP[Valor],BD_DESP[Mês],$B33)</f>
        <v>354429.39</v>
      </c>
      <c r="K33" s="60">
        <f t="shared" si="8"/>
        <v>144840.70000000001</v>
      </c>
      <c r="L33" s="61">
        <f t="shared" si="9"/>
        <v>0.39542576424420411</v>
      </c>
      <c r="M33" s="61">
        <f t="shared" si="10"/>
        <v>0.11455322122552103</v>
      </c>
      <c r="N33" s="62" t="str">
        <f>IF(COUNTIFS(BD_LUCRO[Mês],$B33)=0,"N/A",IF(K33&gt;=0,"✅ POSITIVO","❌ NEGATIVO"))</f>
        <v>✅ POSITIVO</v>
      </c>
      <c r="O33" s="73">
        <f t="shared" si="11"/>
        <v>-0.85136142232433709</v>
      </c>
    </row>
    <row r="34" spans="2:15" x14ac:dyDescent="0.25">
      <c r="B34" s="71" t="s">
        <v>109</v>
      </c>
      <c r="C34" s="59">
        <f>COUNTIFS(BD_LUCRO[Mês],$B34)</f>
        <v>10</v>
      </c>
      <c r="D34" s="60">
        <f>SUMIFS(BD_LUCRO[Peso Kg],BD_LUCRO[Mês],$B34)</f>
        <v>2738898</v>
      </c>
      <c r="E34" s="60">
        <f>SUMIFS(BD_LUCRO[Lucro Bruto],BD_LUCRO[Mês],$B34)</f>
        <v>713587.7</v>
      </c>
      <c r="F34" s="60">
        <f>SUMIFS(BD_LUCRO[Total Frete],BD_LUCRO[Mês],$B34)</f>
        <v>181454.78999999998</v>
      </c>
      <c r="G34" s="60">
        <f>SUMIFS(BD_LUCRO[Impostos],BD_LUCRO[Mês],$B34)</f>
        <v>637.16</v>
      </c>
      <c r="H34" s="60">
        <f>SUMIFS(BD_LUCRO[Comissão],BD_LUCRO[Mês],$B34)</f>
        <v>19763.060000000001</v>
      </c>
      <c r="I34" s="60">
        <f>SUMIFS(BD_LUCRO[Lucro Líq.],BD_LUCRO[Mês],$B34)</f>
        <v>520095.42</v>
      </c>
      <c r="J34" s="60">
        <f>SUMIFS(BD_DESP[Valor],BD_DESP[Mês],$B34)</f>
        <v>137831.58000000002</v>
      </c>
      <c r="K34" s="60">
        <f t="shared" si="8"/>
        <v>382263.83999999997</v>
      </c>
      <c r="L34" s="61">
        <f t="shared" si="9"/>
        <v>0.71712655641345824</v>
      </c>
      <c r="M34" s="61">
        <f t="shared" si="10"/>
        <v>0.5356928657822998</v>
      </c>
      <c r="N34" s="62" t="str">
        <f>IF(COUNTIFS(BD_LUCRO[Mês],$B34)=0,"N/A",IF(K34&gt;=0,"✅ POSITIVO","❌ NEGATIVO"))</f>
        <v>✅ POSITIVO</v>
      </c>
      <c r="O34" s="27">
        <f t="shared" si="11"/>
        <v>1.6392018265584185</v>
      </c>
    </row>
    <row r="35" spans="2:15" x14ac:dyDescent="0.25">
      <c r="B35" s="72" t="s">
        <v>110</v>
      </c>
      <c r="C35" s="59">
        <f>COUNTIFS(BD_LUCRO[Mês],$B35)</f>
        <v>8</v>
      </c>
      <c r="D35" s="60">
        <f>SUMIFS(BD_LUCRO[Peso Kg],BD_LUCRO[Mês],$B35)</f>
        <v>1853380</v>
      </c>
      <c r="E35" s="60">
        <f>SUMIFS(BD_LUCRO[Lucro Bruto],BD_LUCRO[Mês],$B35)</f>
        <v>92136.99</v>
      </c>
      <c r="F35" s="60">
        <f>SUMIFS(BD_LUCRO[Total Frete],BD_LUCRO[Mês],$B35)</f>
        <v>351139.42</v>
      </c>
      <c r="G35" s="60">
        <f>SUMIFS(BD_LUCRO[Impostos],BD_LUCRO[Mês],$B35)</f>
        <v>15779.23</v>
      </c>
      <c r="H35" s="60">
        <f>SUMIFS(BD_LUCRO[Comissão],BD_LUCRO[Mês],$B35)</f>
        <v>197665.77</v>
      </c>
      <c r="I35" s="60">
        <f>SUMIFS(BD_LUCRO[Lucro Líq.],BD_LUCRO[Mês],$B35)</f>
        <v>60153.780000000006</v>
      </c>
      <c r="J35" s="60">
        <f>SUMIFS(BD_DESP[Valor],BD_DESP[Mês],$B35)</f>
        <v>259224.64</v>
      </c>
      <c r="K35" s="60">
        <f t="shared" si="8"/>
        <v>-199070.86000000002</v>
      </c>
      <c r="L35" s="61">
        <f t="shared" si="9"/>
        <v>-5.1276629505695803</v>
      </c>
      <c r="M35" s="61">
        <f t="shared" si="10"/>
        <v>-2.1605965204637139</v>
      </c>
      <c r="N35" s="62" t="str">
        <f>IF(COUNTIFS(BD_LUCRO[Mês],$B35)=0,"N/A",IF(K35&gt;=0,"✅ POSITIVO","❌ NEGATIVO"))</f>
        <v>❌ NEGATIVO</v>
      </c>
      <c r="O35" s="73">
        <f t="shared" si="11"/>
        <v>-1.5207682212369342</v>
      </c>
    </row>
    <row r="36" spans="2:15" x14ac:dyDescent="0.25">
      <c r="B36" s="71" t="s">
        <v>111</v>
      </c>
      <c r="C36" s="59">
        <f>COUNTIFS(BD_LUCRO[Mês],$B36)</f>
        <v>5</v>
      </c>
      <c r="D36" s="60">
        <f>SUMIFS(BD_LUCRO[Peso Kg],BD_LUCRO[Mês],$B36)</f>
        <v>754300</v>
      </c>
      <c r="E36" s="60">
        <f>SUMIFS(BD_LUCRO[Lucro Bruto],BD_LUCRO[Mês],$B36)</f>
        <v>0</v>
      </c>
      <c r="F36" s="60">
        <f>SUMIFS(BD_LUCRO[Total Frete],BD_LUCRO[Mês],$B36)</f>
        <v>242622.44999999998</v>
      </c>
      <c r="G36" s="60">
        <f>SUMIFS(BD_LUCRO[Impostos],BD_LUCRO[Mês],$B36)</f>
        <v>-69880.179999999993</v>
      </c>
      <c r="H36" s="60">
        <f>SUMIFS(BD_LUCRO[Comissão],BD_LUCRO[Mês],$B36)</f>
        <v>393437.97</v>
      </c>
      <c r="I36" s="60">
        <f>SUMIFS(BD_LUCRO[Lucro Líq.],BD_LUCRO[Mês],$B36)</f>
        <v>93877.56</v>
      </c>
      <c r="J36" s="60">
        <f>SUMIFS(BD_DESP[Valor],BD_DESP[Mês],$B36)</f>
        <v>713342.73999999987</v>
      </c>
      <c r="K36" s="60">
        <f t="shared" si="8"/>
        <v>-619465.17999999993</v>
      </c>
      <c r="L36" s="61">
        <f t="shared" si="9"/>
        <v>0</v>
      </c>
      <c r="M36" s="61">
        <f t="shared" si="10"/>
        <v>0</v>
      </c>
      <c r="N36" s="62" t="str">
        <f>IF(COUNTIFS(BD_LUCRO[Mês],$B36)=0,"N/A",IF(K36&gt;=0,"✅ POSITIVO","❌ NEGATIVO"))</f>
        <v>❌ NEGATIVO</v>
      </c>
      <c r="O36" s="27">
        <f t="shared" si="11"/>
        <v>-2.1117823070639266</v>
      </c>
    </row>
    <row r="37" spans="2:15" x14ac:dyDescent="0.25">
      <c r="B37" s="72" t="s">
        <v>112</v>
      </c>
      <c r="C37" s="59">
        <f>COUNTIFS(BD_LUCRO[Mês],$B37)</f>
        <v>11</v>
      </c>
      <c r="D37" s="60">
        <f>SUMIFS(BD_LUCRO[Peso Kg],BD_LUCRO[Mês],$B37)</f>
        <v>1484382</v>
      </c>
      <c r="E37" s="60">
        <f>SUMIFS(BD_LUCRO[Lucro Bruto],BD_LUCRO[Mês],$B37)</f>
        <v>847503.9</v>
      </c>
      <c r="F37" s="60">
        <f>SUMIFS(BD_LUCRO[Total Frete],BD_LUCRO[Mês],$B37)</f>
        <v>306565.3</v>
      </c>
      <c r="G37" s="60">
        <f>SUMIFS(BD_LUCRO[Impostos],BD_LUCRO[Mês],$B37)</f>
        <v>6852.62</v>
      </c>
      <c r="H37" s="60">
        <f>SUMIFS(BD_LUCRO[Comissão],BD_LUCRO[Mês],$B37)</f>
        <v>397616.86000000004</v>
      </c>
      <c r="I37" s="60">
        <f>SUMIFS(BD_LUCRO[Lucro Líq.],BD_LUCRO[Mês],$B37)</f>
        <v>357771.60000000009</v>
      </c>
      <c r="J37" s="60">
        <f>SUMIFS(BD_DESP[Valor],BD_DESP[Mês],$B37)</f>
        <v>480656.74000000017</v>
      </c>
      <c r="K37" s="60">
        <f t="shared" si="8"/>
        <v>-122885.14000000007</v>
      </c>
      <c r="L37" s="61">
        <f t="shared" si="9"/>
        <v>0.16102476932554535</v>
      </c>
      <c r="M37" s="61">
        <f t="shared" si="10"/>
        <v>-0.14499654809848081</v>
      </c>
      <c r="N37" s="62" t="str">
        <f>IF(COUNTIFS(BD_LUCRO[Mês],$B37)=0,"N/A",IF(K37&gt;=0,"✅ POSITIVO","❌ NEGATIVO"))</f>
        <v>❌ NEGATIVO</v>
      </c>
      <c r="O37" s="73">
        <f t="shared" si="11"/>
        <v>0.80162704221728798</v>
      </c>
    </row>
    <row r="38" spans="2:15" x14ac:dyDescent="0.25">
      <c r="B38" s="71" t="s">
        <v>113</v>
      </c>
      <c r="C38" s="59">
        <f>COUNTIFS(BD_LUCRO[Mês],$B38)</f>
        <v>12</v>
      </c>
      <c r="D38" s="60">
        <f>SUMIFS(BD_LUCRO[Peso Kg],BD_LUCRO[Mês],$B38)</f>
        <v>2623460</v>
      </c>
      <c r="E38" s="60">
        <f>SUMIFS(BD_LUCRO[Lucro Bruto],BD_LUCRO[Mês],$B38)</f>
        <v>432526.47</v>
      </c>
      <c r="F38" s="60">
        <f>SUMIFS(BD_LUCRO[Total Frete],BD_LUCRO[Mês],$B38)</f>
        <v>205826.1</v>
      </c>
      <c r="G38" s="60">
        <f>SUMIFS(BD_LUCRO[Impostos],BD_LUCRO[Mês],$B38)</f>
        <v>14225.53</v>
      </c>
      <c r="H38" s="60">
        <f>SUMIFS(BD_LUCRO[Comissão],BD_LUCRO[Mês],$B38)</f>
        <v>464.8</v>
      </c>
      <c r="I38" s="60">
        <f>SUMIFS(BD_LUCRO[Lucro Líq.],BD_LUCRO[Mês],$B38)</f>
        <v>207587.74</v>
      </c>
      <c r="J38" s="60">
        <f>SUMIFS(BD_DESP[Valor],BD_DESP[Mês],$B38)</f>
        <v>331951.65000000002</v>
      </c>
      <c r="K38" s="60">
        <f t="shared" si="8"/>
        <v>-124363.91000000003</v>
      </c>
      <c r="L38" s="61">
        <f t="shared" si="9"/>
        <v>0.49016662494667668</v>
      </c>
      <c r="M38" s="61">
        <f t="shared" si="10"/>
        <v>-0.28752901527622121</v>
      </c>
      <c r="N38" s="62" t="str">
        <f>IF(COUNTIFS(BD_LUCRO[Mês],$B38)=0,"N/A",IF(K38&gt;=0,"✅ POSITIVO","❌ NEGATIVO"))</f>
        <v>❌ NEGATIVO</v>
      </c>
      <c r="O38" s="27">
        <f t="shared" si="11"/>
        <v>-1.2033757702517649E-2</v>
      </c>
    </row>
    <row r="39" spans="2:15" x14ac:dyDescent="0.25">
      <c r="B39" s="72" t="s">
        <v>114</v>
      </c>
      <c r="C39" s="59">
        <f>COUNTIFS(BD_LUCRO[Mês],$B39)</f>
        <v>12</v>
      </c>
      <c r="D39" s="60">
        <f>SUMIFS(BD_LUCRO[Peso Kg],BD_LUCRO[Mês],$B39)</f>
        <v>1559400</v>
      </c>
      <c r="E39" s="60">
        <f>SUMIFS(BD_LUCRO[Lucro Bruto],BD_LUCRO[Mês],$B39)</f>
        <v>193668.13</v>
      </c>
      <c r="F39" s="60">
        <f>SUMIFS(BD_LUCRO[Total Frete],BD_LUCRO[Mês],$B39)</f>
        <v>279111.15000000002</v>
      </c>
      <c r="G39" s="60">
        <f>SUMIFS(BD_LUCRO[Impostos],BD_LUCRO[Mês],$B39)</f>
        <v>6172.99</v>
      </c>
      <c r="H39" s="60">
        <f>SUMIFS(BD_LUCRO[Comissão],BD_LUCRO[Mês],$B39)</f>
        <v>541462.79</v>
      </c>
      <c r="I39" s="60">
        <f>SUMIFS(BD_LUCRO[Lucro Líq.],BD_LUCRO[Mês],$B39)</f>
        <v>233803.58000000002</v>
      </c>
      <c r="J39" s="60">
        <f>SUMIFS(BD_DESP[Valor],BD_DESP[Mês],$B39)</f>
        <v>178639.79</v>
      </c>
      <c r="K39" s="60">
        <f t="shared" si="8"/>
        <v>55163.790000000008</v>
      </c>
      <c r="L39" s="61">
        <f t="shared" si="9"/>
        <v>-3.2688847669464254</v>
      </c>
      <c r="M39" s="61">
        <f t="shared" si="10"/>
        <v>0.28483669460741945</v>
      </c>
      <c r="N39" s="62" t="str">
        <f>IF(COUNTIFS(BD_LUCRO[Mês],$B39)=0,"N/A",IF(K39&gt;=0,"✅ POSITIVO","❌ NEGATIVO"))</f>
        <v>✅ POSITIVO</v>
      </c>
      <c r="O39" s="73">
        <f t="shared" si="11"/>
        <v>1.4435675108638832</v>
      </c>
    </row>
    <row r="40" spans="2:15" x14ac:dyDescent="0.25">
      <c r="B40" s="71" t="s">
        <v>115</v>
      </c>
      <c r="C40" s="59">
        <f>COUNTIFS(BD_LUCRO[Mês],$B40)</f>
        <v>13</v>
      </c>
      <c r="D40" s="60">
        <f>SUMIFS(BD_LUCRO[Peso Kg],BD_LUCRO[Mês],$B40)</f>
        <v>2024100</v>
      </c>
      <c r="E40" s="60">
        <f>SUMIFS(BD_LUCRO[Lucro Bruto],BD_LUCRO[Mês],$B40)</f>
        <v>288046.52999999997</v>
      </c>
      <c r="F40" s="60">
        <f>SUMIFS(BD_LUCRO[Total Frete],BD_LUCRO[Mês],$B40)</f>
        <v>216594.87</v>
      </c>
      <c r="G40" s="60">
        <f>SUMIFS(BD_LUCRO[Impostos],BD_LUCRO[Mês],$B40)</f>
        <v>14242.640000000001</v>
      </c>
      <c r="H40" s="60">
        <f>SUMIFS(BD_LUCRO[Comissão],BD_LUCRO[Mês],$B40)</f>
        <v>7019.6000000000013</v>
      </c>
      <c r="I40" s="60">
        <f>SUMIFS(BD_LUCRO[Lucro Líq.],BD_LUCRO[Mês],$B40)</f>
        <v>165851.95000000001</v>
      </c>
      <c r="J40" s="60">
        <f>SUMIFS(BD_DESP[Valor],BD_DESP[Mês],$B40)</f>
        <v>325465.06</v>
      </c>
      <c r="K40" s="60">
        <f t="shared" si="8"/>
        <v>-159613.10999999999</v>
      </c>
      <c r="L40" s="61">
        <f t="shared" si="9"/>
        <v>0.17424066868640972</v>
      </c>
      <c r="M40" s="61">
        <f t="shared" si="10"/>
        <v>-0.55412266205741134</v>
      </c>
      <c r="N40" s="62" t="str">
        <f>IF(COUNTIFS(BD_LUCRO[Mês],$B40)=0,"N/A",IF(K40&gt;=0,"✅ POSITIVO","❌ NEGATIVO"))</f>
        <v>❌ NEGATIVO</v>
      </c>
      <c r="O40" s="27">
        <f t="shared" si="11"/>
        <v>-3.8934398814874749</v>
      </c>
    </row>
    <row r="41" spans="2:15" x14ac:dyDescent="0.25">
      <c r="B41" s="72" t="s">
        <v>116</v>
      </c>
      <c r="C41" s="59">
        <f>COUNTIFS(BD_LUCRO[Mês],$B41)</f>
        <v>4</v>
      </c>
      <c r="D41" s="60">
        <f>SUMIFS(BD_LUCRO[Peso Kg],BD_LUCRO[Mês],$B41)</f>
        <v>761240</v>
      </c>
      <c r="E41" s="60">
        <f>SUMIFS(BD_LUCRO[Lucro Bruto],BD_LUCRO[Mês],$B41)</f>
        <v>315994.19999999995</v>
      </c>
      <c r="F41" s="60">
        <f>SUMIFS(BD_LUCRO[Total Frete],BD_LUCRO[Mês],$B41)</f>
        <v>206315.89999999997</v>
      </c>
      <c r="G41" s="60">
        <f>SUMIFS(BD_LUCRO[Impostos],BD_LUCRO[Mês],$B41)</f>
        <v>14669.319999999998</v>
      </c>
      <c r="H41" s="60">
        <f>SUMIFS(BD_LUCRO[Comissão],BD_LUCRO[Mês],$B41)</f>
        <v>3521</v>
      </c>
      <c r="I41" s="60">
        <f>SUMIFS(BD_LUCRO[Lucro Líq.],BD_LUCRO[Mês],$B41)</f>
        <v>84051.78</v>
      </c>
      <c r="J41" s="60">
        <f>SUMIFS(BD_DESP[Valor],BD_DESP[Mês],$B41)</f>
        <v>305624.58</v>
      </c>
      <c r="K41" s="60">
        <f t="shared" si="8"/>
        <v>-221572.80000000002</v>
      </c>
      <c r="L41" s="61">
        <f t="shared" si="9"/>
        <v>0.28952423810310446</v>
      </c>
      <c r="M41" s="61">
        <f t="shared" si="10"/>
        <v>-0.70119261682651157</v>
      </c>
      <c r="N41" s="62" t="str">
        <f>IF(COUNTIFS(BD_LUCRO[Mês],$B41)=0,"N/A",IF(K41&gt;=0,"✅ POSITIVO","❌ NEGATIVO"))</f>
        <v>❌ NEGATIVO</v>
      </c>
      <c r="O41" s="73">
        <f t="shared" si="11"/>
        <v>-0.38818672225608558</v>
      </c>
    </row>
    <row r="42" spans="2:15" x14ac:dyDescent="0.25">
      <c r="B42" s="2" t="s">
        <v>117</v>
      </c>
      <c r="C42" s="70">
        <f t="shared" ref="C42" si="12">SUM(C30:C41)</f>
        <v>124</v>
      </c>
      <c r="D42" s="70">
        <f t="shared" ref="D42" si="13">SUM(D30:D41)</f>
        <v>25716499</v>
      </c>
      <c r="E42" s="70">
        <f t="shared" ref="E42" si="14">SUM(E30:E41)</f>
        <v>6965952.6700000018</v>
      </c>
      <c r="F42" s="70">
        <f t="shared" ref="F42" si="15">SUM(F30:F41)</f>
        <v>3259171.8</v>
      </c>
      <c r="G42" s="70">
        <f t="shared" ref="G42" si="16">SUM(G30:G41)</f>
        <v>7281.9700000000084</v>
      </c>
      <c r="H42" s="70">
        <f t="shared" ref="H42" si="17">SUM(H30:H41)</f>
        <v>1826139.84</v>
      </c>
      <c r="I42" s="70">
        <f t="shared" ref="I42" si="18">SUM(I30:I41)</f>
        <v>4200075.4400000004</v>
      </c>
      <c r="J42" s="70">
        <f t="shared" ref="J42" si="19">SUM(J30:J41)</f>
        <v>3677506.74</v>
      </c>
      <c r="K42" s="70">
        <f t="shared" ref="K42" si="20">SUM(K30:K41)</f>
        <v>522568.69999999949</v>
      </c>
      <c r="L42" s="75">
        <f t="shared" si="9"/>
        <v>0.26893077641309915</v>
      </c>
      <c r="M42" s="75">
        <f t="shared" si="10"/>
        <v>7.5017549609621356E-2</v>
      </c>
      <c r="N42" s="70" t="str">
        <f>IF(K42&gt;=0,"✅ POSITIVO","❌ NEGATIVO")</f>
        <v>✅ POSITIVO</v>
      </c>
      <c r="O42" s="2" t="s">
        <v>92</v>
      </c>
    </row>
  </sheetData>
  <mergeCells count="8">
    <mergeCell ref="B3:C3"/>
    <mergeCell ref="B28:O28"/>
    <mergeCell ref="B12:O12"/>
    <mergeCell ref="B2:C2"/>
    <mergeCell ref="E2:F2"/>
    <mergeCell ref="E3:F3"/>
    <mergeCell ref="H2:I2"/>
    <mergeCell ref="H3:I3"/>
  </mergeCells>
  <conditionalFormatting sqref="M14:M25">
    <cfRule type="cellIs" dxfId="29" priority="12" operator="lessThan">
      <formula>0</formula>
    </cfRule>
    <cfRule type="cellIs" dxfId="28" priority="13" operator="greaterThan">
      <formula>0</formula>
    </cfRule>
  </conditionalFormatting>
  <conditionalFormatting sqref="M30:M41">
    <cfRule type="cellIs" dxfId="27" priority="6" operator="lessThan">
      <formula>0</formula>
    </cfRule>
    <cfRule type="cellIs" dxfId="26" priority="7" operator="greaterThan">
      <formula>0</formula>
    </cfRule>
  </conditionalFormatting>
  <conditionalFormatting sqref="N1:N1048576">
    <cfRule type="cellIs" dxfId="25" priority="1" operator="equal">
      <formula>"✅ POSITIVO"</formula>
    </cfRule>
    <cfRule type="cellIs" dxfId="24" priority="2" operator="equal">
      <formula>"❌ NEGATIVO"</formula>
    </cfRule>
  </conditionalFormatting>
  <conditionalFormatting sqref="N14:N25">
    <cfRule type="cellIs" dxfId="23" priority="9" operator="equal">
      <formula>"✅ POSITIVO"</formula>
    </cfRule>
    <cfRule type="duplicateValues" dxfId="22" priority="10"/>
    <cfRule type="cellIs" dxfId="21" priority="11" operator="equal">
      <formula>"❌ NEGATIVO"</formula>
    </cfRule>
  </conditionalFormatting>
  <conditionalFormatting sqref="N30:N41">
    <cfRule type="cellIs" dxfId="20" priority="3" operator="equal">
      <formula>"✅ POSITIVO"</formula>
    </cfRule>
    <cfRule type="duplicateValues" dxfId="19" priority="4"/>
    <cfRule type="cellIs" dxfId="18" priority="5" operator="equal">
      <formula>"❌ NEGATIVO"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COMPARATIVO ANUAL</vt:lpstr>
      <vt:lpstr>BD_LUCRO</vt:lpstr>
      <vt:lpstr>BD_DESP</vt:lpstr>
      <vt:lpstr>HIST. 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murillo nunes</dc:creator>
  <dc:description/>
  <cp:lastModifiedBy>murillo nunes</cp:lastModifiedBy>
  <cp:revision>3</cp:revision>
  <dcterms:created xsi:type="dcterms:W3CDTF">2026-03-24T18:55:04Z</dcterms:created>
  <dcterms:modified xsi:type="dcterms:W3CDTF">2026-04-23T17:03:09Z</dcterms:modified>
  <dc:language>en-US</dc:language>
</cp:coreProperties>
</file>